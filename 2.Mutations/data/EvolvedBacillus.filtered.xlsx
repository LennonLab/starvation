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04"/>
  <workbookPr showInkAnnotation="0" autoCompressPictures="0"/>
  <xr:revisionPtr revIDLastSave="8" documentId="11_F1590C1C24BB2647E4E76A3840E62A0F10FA98C5" xr6:coauthVersionLast="47" xr6:coauthVersionMax="47" xr10:uidLastSave="{A888CDAF-2EE5-43AD-BB53-226D582F7EC6}"/>
  <bookViews>
    <workbookView xWindow="480" yWindow="480" windowWidth="25120" windowHeight="15580" tabRatio="500" xr2:uid="{00000000-000D-0000-FFFF-FFFF00000000}"/>
  </bookViews>
  <sheets>
    <sheet name="EvolvedBacillus.filtered.tab" sheetId="1" r:id="rId1"/>
    <sheet name="charts" sheetId="2" r:id="rId2"/>
  </sheets>
  <definedNames>
    <definedName name="_xlnm._FilterDatabase" localSheetId="0" hidden="1">'EvolvedBacillus.filtered.tab'!$A$1:$EJ$15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P24" i="1" l="1"/>
  <c r="EP21" i="1"/>
  <c r="EP20" i="1"/>
  <c r="EP19" i="1"/>
  <c r="EP18" i="1"/>
  <c r="EP17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EJ23" i="1"/>
  <c r="EJ24" i="1"/>
  <c r="EJ25" i="1"/>
  <c r="EJ26" i="1"/>
  <c r="EJ27" i="1"/>
  <c r="EJ28" i="1"/>
  <c r="EJ29" i="1"/>
  <c r="EJ30" i="1"/>
  <c r="EJ31" i="1"/>
  <c r="EJ32" i="1"/>
  <c r="EJ33" i="1"/>
  <c r="EJ2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J17" i="1"/>
</calcChain>
</file>

<file path=xl/sharedStrings.xml><?xml version="1.0" encoding="utf-8"?>
<sst xmlns="http://schemas.openxmlformats.org/spreadsheetml/2006/main" count="1189" uniqueCount="119">
  <si>
    <t>#CHROM</t>
  </si>
  <si>
    <t>POS</t>
  </si>
  <si>
    <t>QUAL</t>
  </si>
  <si>
    <t>REF</t>
  </si>
  <si>
    <t>Sample_Ba1</t>
  </si>
  <si>
    <t>Sample_Ba11</t>
  </si>
  <si>
    <t>Sample_Ba13</t>
  </si>
  <si>
    <t>Sample_Ba14</t>
  </si>
  <si>
    <t>Sample_Ba16</t>
  </si>
  <si>
    <t>Sample_Ba18</t>
  </si>
  <si>
    <t>Sample_Ba19</t>
  </si>
  <si>
    <t>Sample_Ba2</t>
  </si>
  <si>
    <t>Sample_Ba20</t>
  </si>
  <si>
    <t>Sample_Ba21</t>
  </si>
  <si>
    <t>Sample_Ba22</t>
  </si>
  <si>
    <t>Sample_Ba23</t>
  </si>
  <si>
    <t>Sample_Ba24</t>
  </si>
  <si>
    <t>Sample_Ba3</t>
  </si>
  <si>
    <t>Sample_Ba4</t>
  </si>
  <si>
    <t>Sample_Ba46</t>
  </si>
  <si>
    <t>Sample_Ba47</t>
  </si>
  <si>
    <t>Sample_Ba48</t>
  </si>
  <si>
    <t>Sample_Ba49</t>
  </si>
  <si>
    <t>Sample_Ba5</t>
  </si>
  <si>
    <t>Sample_Ba50</t>
  </si>
  <si>
    <t>Sample_Ba51</t>
  </si>
  <si>
    <t>Sample_Ba52</t>
  </si>
  <si>
    <t>Sample_Ba53</t>
  </si>
  <si>
    <t>Sample_Ba54</t>
  </si>
  <si>
    <t>Sample_Ba55</t>
  </si>
  <si>
    <t>Sample_Ba56</t>
  </si>
  <si>
    <t>Sample_Ba57</t>
  </si>
  <si>
    <t>Sample_Ba58</t>
  </si>
  <si>
    <t>Sample_Ba59</t>
  </si>
  <si>
    <t>Sample_Ba6</t>
  </si>
  <si>
    <t>Sample_Ba60</t>
  </si>
  <si>
    <t>Sample_Ba61</t>
  </si>
  <si>
    <t>Sample_Ba62</t>
  </si>
  <si>
    <t>Sample_Ba63</t>
  </si>
  <si>
    <t>Sample_Ba64</t>
  </si>
  <si>
    <t>Sample_Ba65</t>
  </si>
  <si>
    <t>Sample_Ba66</t>
  </si>
  <si>
    <t>Sample_Ba67</t>
  </si>
  <si>
    <t>Sample_Ba68</t>
  </si>
  <si>
    <t>Sample_Ba69</t>
  </si>
  <si>
    <t>Sample_Ba7</t>
  </si>
  <si>
    <t>Sample_Ba70</t>
  </si>
  <si>
    <t>Sample_Ba74</t>
  </si>
  <si>
    <t>Sample_Ba77</t>
  </si>
  <si>
    <t>Sample_Ba78</t>
  </si>
  <si>
    <t>Sample_Ba79</t>
  </si>
  <si>
    <t>Sample_Ba8</t>
  </si>
  <si>
    <t>Sample_Ba81</t>
  </si>
  <si>
    <t>Sample_Ba82</t>
  </si>
  <si>
    <t>Sample_Ba83</t>
  </si>
  <si>
    <t>Sample_Ba84</t>
  </si>
  <si>
    <t>Sample_Ba85</t>
  </si>
  <si>
    <t>Sample_Ba86</t>
  </si>
  <si>
    <t>Sample_Ba87</t>
  </si>
  <si>
    <t>Sample_Ba88</t>
  </si>
  <si>
    <t>Sample_Ba89</t>
  </si>
  <si>
    <t>Sample_Ba9</t>
  </si>
  <si>
    <t>Sample_Ba90</t>
  </si>
  <si>
    <t>Sample_Ba91</t>
  </si>
  <si>
    <t>Sample_Ba92</t>
  </si>
  <si>
    <t>Sample_Ba93</t>
  </si>
  <si>
    <t>Sample_Ba94</t>
  </si>
  <si>
    <t>Sample_Ba95</t>
  </si>
  <si>
    <t>Sample_Ba96</t>
  </si>
  <si>
    <t>Totals</t>
  </si>
  <si>
    <t>gi|255767013|ref|NC_000964.3|</t>
  </si>
  <si>
    <t>missense_variant</t>
  </si>
  <si>
    <t>MODERATE</t>
  </si>
  <si>
    <t>pbpD</t>
  </si>
  <si>
    <t>penicillin-binding protein 4(pbpD)</t>
  </si>
  <si>
    <t>G</t>
  </si>
  <si>
    <t>A</t>
  </si>
  <si>
    <t>intergenic_region</t>
  </si>
  <si>
    <t>MODIFIER</t>
  </si>
  <si>
    <t>cspB-yhcJ</t>
  </si>
  <si>
    <t>cold shock protein CspB(cspB) - lipoprotein(yhcJ)</t>
  </si>
  <si>
    <t>yacL</t>
  </si>
  <si>
    <t>PIN and TRAM-domain containing protein YacL(yacL)</t>
  </si>
  <si>
    <t>T</t>
  </si>
  <si>
    <t>C</t>
  </si>
  <si>
    <t>yezE</t>
  </si>
  <si>
    <t>TetR family transcriptional regulator(yezE)</t>
  </si>
  <si>
    <t>ksgA</t>
  </si>
  <si>
    <t>ribosomal RNA small subunit methyltransferase A(ksgA)</t>
  </si>
  <si>
    <t>nhaK</t>
  </si>
  <si>
    <t>sodium, potassium, lithium and rubidium/H(+) antiporter(nhaK) --strange, looks heterozygous</t>
  </si>
  <si>
    <t>rpsJ</t>
  </si>
  <si>
    <t>30S ribosomal protein S10(rpsJ)</t>
  </si>
  <si>
    <t>bceA-bceS</t>
  </si>
  <si>
    <t>bacitracin ABC efflux transporter/BceS two-component sensory histidine kinase</t>
  </si>
  <si>
    <t>CA</t>
  </si>
  <si>
    <t>glpT-ybeF</t>
  </si>
  <si>
    <t>glycerol-3-phosphate permease/hypothetical protein</t>
  </si>
  <si>
    <t>hag</t>
  </si>
  <si>
    <t>flagellin</t>
  </si>
  <si>
    <t>synonymous_variant</t>
  </si>
  <si>
    <t>LOW</t>
  </si>
  <si>
    <t>spsG</t>
  </si>
  <si>
    <t>spore coat biosynthesis</t>
  </si>
  <si>
    <t>ytoP-ytzB</t>
  </si>
  <si>
    <t>glutamyl aminopeptidase/hypothetical</t>
  </si>
  <si>
    <t>yvbW</t>
  </si>
  <si>
    <t>amino acid permease</t>
  </si>
  <si>
    <t>splice_region_variant&amp;stop_retained_variant</t>
  </si>
  <si>
    <t>yvrE</t>
  </si>
  <si>
    <t>hypothetical</t>
  </si>
  <si>
    <t>Bacillus MA</t>
  </si>
  <si>
    <t>Total</t>
  </si>
  <si>
    <t>SNP</t>
  </si>
  <si>
    <t>Del</t>
  </si>
  <si>
    <t>Ins</t>
  </si>
  <si>
    <t>SNPs</t>
  </si>
  <si>
    <t>Small Deletion</t>
  </si>
  <si>
    <t>Small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</si>
</sst>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3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7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11" fontId="0" fillId="0" borderId="0" xfId="0" applyNumberFormat="1"/>
  </cellXfs>
  <cellStyles count="75"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4" builtinId="9" hidden="1"/>
    <cellStyle name="Followed Hyperlink" xfId="9" builtinId="9" hidden="1"/>
    <cellStyle name="Followed Hyperlink" xfId="12" builtinId="9" hidden="1"/>
    <cellStyle name="Followed Hyperlink" xfId="10" builtinId="9" hidden="1"/>
    <cellStyle name="Followed Hyperlink" xfId="7" builtinId="9" hidde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13" builtinId="9" hidden="1"/>
    <cellStyle name="Followed Hyperlink" xfId="11" builtinId="9" hidden="1"/>
    <cellStyle name="Followed Hyperlink" xfId="8" builtinId="9" hidden="1"/>
    <cellStyle name="Followed Hyperlink" xfId="18" builtinId="9" hidden="1"/>
    <cellStyle name="Followed Hyperlink" xfId="26" builtinId="9" hidden="1"/>
    <cellStyle name="Followed Hyperlink" xfId="36" builtinId="9" hidden="1"/>
    <cellStyle name="Followed Hyperlink" xfId="34" builtinId="9" hidden="1"/>
    <cellStyle name="Followed Hyperlink" xfId="64" builtinId="9" hidden="1"/>
    <cellStyle name="Followed Hyperlink" xfId="60" builtinId="9" hidden="1"/>
    <cellStyle name="Followed Hyperlink" xfId="56" builtinId="9" hidden="1"/>
    <cellStyle name="Followed Hyperlink" xfId="48" builtinId="9" hidden="1"/>
    <cellStyle name="Followed Hyperlink" xfId="44" builtinId="9" hidden="1"/>
    <cellStyle name="Followed Hyperlink" xfId="40" builtinId="9" hidden="1"/>
    <cellStyle name="Followed Hyperlink" xfId="16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4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2" builtinId="9" hidden="1"/>
    <cellStyle name="Followed Hyperlink" xfId="31" builtinId="9" hidden="1"/>
    <cellStyle name="Followed Hyperlink" xfId="25" builtinId="9" hidden="1"/>
    <cellStyle name="Followed Hyperlink" xfId="20" builtinId="9" hidden="1"/>
    <cellStyle name="Followed Hyperlink" xfId="15" builtinId="9" hidden="1"/>
    <cellStyle name="Followed Hyperlink" xfId="52" builtinId="9" hidden="1"/>
    <cellStyle name="Followed Hyperlink" xfId="68" builtinId="9" hidden="1"/>
    <cellStyle name="Followed Hyperlink" xfId="58" builtinId="9" hidden="1"/>
    <cellStyle name="Followed Hyperlink" xfId="62" builtinId="9" hidden="1"/>
    <cellStyle name="Followed Hyperlink" xfId="70" builtinId="9" hidden="1"/>
    <cellStyle name="Followed Hyperlink" xfId="74" builtinId="9" hidden="1"/>
    <cellStyle name="Followed Hyperlink" xfId="72" builtinId="9" hidden="1"/>
    <cellStyle name="Followed Hyperlink" xfId="66" builtinId="9" hidden="1"/>
    <cellStyle name="Followed Hyperlink" xfId="50" builtinId="9" hidden="1"/>
    <cellStyle name="Followed Hyperlink" xfId="54" builtinId="9" hidden="1"/>
    <cellStyle name="Followed Hyperlink" xfId="46" builtinId="9" hidden="1"/>
    <cellStyle name="Followed Hyperlink" xfId="42" builtinId="9" hidden="1"/>
    <cellStyle name="Hyperlink" xfId="37" builtinId="8" hidden="1"/>
    <cellStyle name="Hyperlink" xfId="41" builtinId="8" hidden="1"/>
    <cellStyle name="Hyperlink" xfId="45" builtinId="8" hidden="1"/>
    <cellStyle name="Hyperlink" xfId="47" builtinId="8" hidden="1"/>
    <cellStyle name="Hyperlink" xfId="49" builtinId="8" hidden="1"/>
    <cellStyle name="Hyperlink" xfId="39" builtinId="8" hidden="1"/>
    <cellStyle name="Hyperlink" xfId="5" builtinId="8" hidden="1"/>
    <cellStyle name="Hyperlink" xfId="33" builtinId="8" hidden="1"/>
    <cellStyle name="Hyperlink" xfId="35" builtinId="8" hidden="1"/>
    <cellStyle name="Hyperlink" xfId="1" builtinId="8" hidden="1"/>
    <cellStyle name="Hyperlink" xfId="3" builtinId="8" hidden="1"/>
    <cellStyle name="Hyperlink" xfId="43" builtinId="8" hidden="1"/>
    <cellStyle name="Hyperlink" xfId="63" builtinId="8" hidden="1"/>
    <cellStyle name="Hyperlink" xfId="67" builtinId="8" hidden="1"/>
    <cellStyle name="Hyperlink" xfId="69" builtinId="8" hidden="1"/>
    <cellStyle name="Hyperlink" xfId="73" builtinId="8" hidden="1"/>
    <cellStyle name="Hyperlink" xfId="71" builtinId="8" hidden="1"/>
    <cellStyle name="Hyperlink" xfId="55" builtinId="8" hidden="1"/>
    <cellStyle name="Hyperlink" xfId="65" builtinId="8" hidden="1"/>
    <cellStyle name="Hyperlink" xfId="57" builtinId="8" hidden="1"/>
    <cellStyle name="Hyperlink" xfId="59" builtinId="8" hidden="1"/>
    <cellStyle name="Hyperlink" xfId="61" builtinId="8" hidden="1"/>
    <cellStyle name="Hyperlink" xfId="53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charts!$A$4:$A$6</c:f>
              <c:strCache>
                <c:ptCount val="3"/>
                <c:pt idx="0">
                  <c:v>SNPs</c:v>
                </c:pt>
                <c:pt idx="1">
                  <c:v>Small Deletion</c:v>
                </c:pt>
                <c:pt idx="2">
                  <c:v>Small Insertion</c:v>
                </c:pt>
              </c:strCache>
            </c:strRef>
          </c:cat>
          <c:val>
            <c:numRef>
              <c:f>charts!$B$4:$B$6</c:f>
              <c:numCache>
                <c:formatCode>General</c:formatCode>
                <c:ptCount val="3"/>
                <c:pt idx="0">
                  <c:v>25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5-4D21-9DC1-36E8B02C368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charts!$E$4:$E$5</c:f>
              <c:strCache>
                <c:ptCount val="2"/>
                <c:pt idx="0">
                  <c:v>SNPs</c:v>
                </c:pt>
                <c:pt idx="1">
                  <c:v>Small Insertion</c:v>
                </c:pt>
              </c:strCache>
            </c:strRef>
          </c:cat>
          <c:val>
            <c:numRef>
              <c:f>charts!$F$4:$F$5</c:f>
              <c:numCache>
                <c:formatCode>General</c:formatCode>
                <c:ptCount val="2"/>
                <c:pt idx="0">
                  <c:v>21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F-447F-9F87-54DF3D3A365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730250</xdr:colOff>
      <xdr:row>17</xdr:row>
      <xdr:rowOff>127000</xdr:rowOff>
    </xdr:from>
    <xdr:to>
      <xdr:col>13</xdr:col>
      <xdr:colOff>349250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781050</xdr:colOff>
      <xdr:row>15</xdr:row>
      <xdr:rowOff>165100</xdr:rowOff>
    </xdr:from>
    <xdr:to>
      <xdr:col>6</xdr:col>
      <xdr:colOff>400050</xdr:colOff>
      <xdr:row>30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34"/>
  <sheetViews>
    <sheetView tabSelected="1" workbookViewId="0">
      <selection activeCell="H1" sqref="H1:H1048576"/>
    </sheetView>
  </sheetViews>
  <sheetFormatPr defaultColWidth="11" defaultRowHeight="15"/>
  <cols>
    <col min="8" max="8" width="30.5" customWidth="1"/>
    <col min="10" max="10" width="15.375" customWidth="1"/>
    <col min="11" max="11" width="19.875" customWidth="1"/>
    <col min="12" max="12" width="15" customWidth="1"/>
    <col min="13" max="13" width="14.625" customWidth="1"/>
    <col min="15" max="15" width="13.625" customWidth="1"/>
    <col min="17" max="17" width="14.375" customWidth="1"/>
    <col min="146" max="146" width="12.125" bestFit="1" customWidth="1"/>
  </cols>
  <sheetData>
    <row r="1" spans="1:149">
      <c r="A1" t="s">
        <v>0</v>
      </c>
      <c r="B1" t="s">
        <v>1</v>
      </c>
      <c r="C1" t="s">
        <v>1</v>
      </c>
      <c r="D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4</v>
      </c>
      <c r="BX1" t="s">
        <v>5</v>
      </c>
      <c r="BY1" t="s">
        <v>6</v>
      </c>
      <c r="BZ1" t="s">
        <v>7</v>
      </c>
      <c r="CA1" t="s">
        <v>8</v>
      </c>
      <c r="CB1" t="s">
        <v>9</v>
      </c>
      <c r="CC1" t="s">
        <v>10</v>
      </c>
      <c r="CD1" t="s">
        <v>11</v>
      </c>
      <c r="CE1" t="s">
        <v>12</v>
      </c>
      <c r="CF1" t="s">
        <v>13</v>
      </c>
      <c r="CG1" t="s">
        <v>14</v>
      </c>
      <c r="CH1" t="s">
        <v>15</v>
      </c>
      <c r="CI1" t="s">
        <v>16</v>
      </c>
      <c r="CJ1" t="s">
        <v>17</v>
      </c>
      <c r="CK1" t="s">
        <v>18</v>
      </c>
      <c r="CL1" t="s">
        <v>19</v>
      </c>
      <c r="CM1" t="s">
        <v>20</v>
      </c>
      <c r="CN1" t="s">
        <v>21</v>
      </c>
      <c r="CO1" t="s">
        <v>22</v>
      </c>
      <c r="CP1" t="s">
        <v>23</v>
      </c>
      <c r="CQ1" t="s">
        <v>24</v>
      </c>
      <c r="CR1" t="s">
        <v>25</v>
      </c>
      <c r="CS1" t="s">
        <v>26</v>
      </c>
      <c r="CT1" t="s">
        <v>27</v>
      </c>
      <c r="CU1" t="s">
        <v>28</v>
      </c>
      <c r="CV1" t="s">
        <v>29</v>
      </c>
      <c r="CW1" t="s">
        <v>30</v>
      </c>
      <c r="CX1" t="s">
        <v>31</v>
      </c>
      <c r="CY1" t="s">
        <v>32</v>
      </c>
      <c r="CZ1" t="s">
        <v>33</v>
      </c>
      <c r="DA1" t="s">
        <v>34</v>
      </c>
      <c r="DB1" t="s">
        <v>35</v>
      </c>
      <c r="DC1" t="s">
        <v>36</v>
      </c>
      <c r="DD1" t="s">
        <v>37</v>
      </c>
      <c r="DE1" t="s">
        <v>38</v>
      </c>
      <c r="DF1" t="s">
        <v>39</v>
      </c>
      <c r="DG1" t="s">
        <v>40</v>
      </c>
      <c r="DH1" t="s">
        <v>41</v>
      </c>
      <c r="DI1" t="s">
        <v>42</v>
      </c>
      <c r="DJ1" t="s">
        <v>43</v>
      </c>
      <c r="DK1" t="s">
        <v>44</v>
      </c>
      <c r="DL1" t="s">
        <v>45</v>
      </c>
      <c r="DM1" t="s">
        <v>46</v>
      </c>
      <c r="DN1" t="s">
        <v>47</v>
      </c>
      <c r="DO1" t="s">
        <v>48</v>
      </c>
      <c r="DP1" t="s">
        <v>49</v>
      </c>
      <c r="DQ1" t="s">
        <v>50</v>
      </c>
      <c r="DR1" t="s">
        <v>51</v>
      </c>
      <c r="DS1" t="s">
        <v>52</v>
      </c>
      <c r="DT1" t="s">
        <v>53</v>
      </c>
      <c r="DU1" t="s">
        <v>54</v>
      </c>
      <c r="DV1" t="s">
        <v>55</v>
      </c>
      <c r="DW1" t="s">
        <v>56</v>
      </c>
      <c r="DX1" t="s">
        <v>57</v>
      </c>
      <c r="DY1" t="s">
        <v>58</v>
      </c>
      <c r="DZ1" t="s">
        <v>59</v>
      </c>
      <c r="EA1" t="s">
        <v>60</v>
      </c>
      <c r="EB1" t="s">
        <v>61</v>
      </c>
      <c r="EC1" t="s">
        <v>62</v>
      </c>
      <c r="ED1" t="s">
        <v>63</v>
      </c>
      <c r="EE1" t="s">
        <v>64</v>
      </c>
      <c r="EF1" t="s">
        <v>65</v>
      </c>
      <c r="EG1" t="s">
        <v>66</v>
      </c>
      <c r="EH1" t="s">
        <v>67</v>
      </c>
      <c r="EI1" t="s">
        <v>68</v>
      </c>
      <c r="EJ1" t="s">
        <v>69</v>
      </c>
    </row>
    <row r="2" spans="1:149">
      <c r="A2" t="s">
        <v>70</v>
      </c>
      <c r="B2" s="1">
        <v>3234224</v>
      </c>
      <c r="C2" s="1">
        <v>3234224</v>
      </c>
      <c r="D2">
        <v>65276.38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75</v>
      </c>
      <c r="R2" t="s">
        <v>76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76</v>
      </c>
      <c r="Z2" t="s">
        <v>75</v>
      </c>
      <c r="AA2" t="s">
        <v>75</v>
      </c>
      <c r="AB2" t="s">
        <v>76</v>
      </c>
      <c r="AC2" t="s">
        <v>75</v>
      </c>
      <c r="AD2" t="s">
        <v>76</v>
      </c>
      <c r="AE2" t="s">
        <v>75</v>
      </c>
      <c r="AF2" t="s">
        <v>75</v>
      </c>
      <c r="AG2" t="s">
        <v>76</v>
      </c>
      <c r="AH2" t="s">
        <v>75</v>
      </c>
      <c r="AI2" t="s">
        <v>75</v>
      </c>
      <c r="AJ2" t="s">
        <v>75</v>
      </c>
      <c r="AK2" t="s">
        <v>76</v>
      </c>
      <c r="AL2" t="s">
        <v>75</v>
      </c>
      <c r="AM2" t="s">
        <v>75</v>
      </c>
      <c r="AN2" t="s">
        <v>75</v>
      </c>
      <c r="AO2" t="s">
        <v>75</v>
      </c>
      <c r="AP2" t="s">
        <v>76</v>
      </c>
      <c r="AQ2" t="s">
        <v>75</v>
      </c>
      <c r="AR2" t="s">
        <v>76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76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76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76</v>
      </c>
      <c r="BS2" t="s">
        <v>75</v>
      </c>
      <c r="BT2" t="s">
        <v>75</v>
      </c>
      <c r="BU2" t="s">
        <v>75</v>
      </c>
      <c r="BV2" t="s">
        <v>75</v>
      </c>
      <c r="BW2">
        <f t="shared" ref="BW2:BW15" si="0">IF($I2=J2,0,1)</f>
        <v>0</v>
      </c>
      <c r="BX2">
        <f t="shared" ref="BX2:BX15" si="1">IF($I2=K2,0,1)</f>
        <v>0</v>
      </c>
      <c r="BY2">
        <f t="shared" ref="BY2:BY15" si="2">IF($I2=L2,0,1)</f>
        <v>0</v>
      </c>
      <c r="BZ2">
        <f t="shared" ref="BZ2:BZ15" si="3">IF($I2=M2,0,1)</f>
        <v>1</v>
      </c>
      <c r="CA2">
        <f t="shared" ref="CA2:CA15" si="4">IF($I2=N2,0,1)</f>
        <v>0</v>
      </c>
      <c r="CB2">
        <f t="shared" ref="CB2:CB15" si="5">IF($I2=O2,0,1)</f>
        <v>0</v>
      </c>
      <c r="CC2">
        <f t="shared" ref="CC2:CC15" si="6">IF($I2=P2,0,1)</f>
        <v>0</v>
      </c>
      <c r="CD2">
        <f t="shared" ref="CD2:CD15" si="7">IF($I2=Q2,0,1)</f>
        <v>0</v>
      </c>
      <c r="CE2">
        <f t="shared" ref="CE2:CE15" si="8">IF($I2=R2,0,1)</f>
        <v>1</v>
      </c>
      <c r="CF2">
        <f t="shared" ref="CF2:CF15" si="9">IF($I2=S2,0,1)</f>
        <v>0</v>
      </c>
      <c r="CG2">
        <f t="shared" ref="CG2:CG15" si="10">IF($I2=T2,0,1)</f>
        <v>0</v>
      </c>
      <c r="CH2">
        <f t="shared" ref="CH2:CH15" si="11">IF($I2=U2,0,1)</f>
        <v>0</v>
      </c>
      <c r="CI2">
        <f t="shared" ref="CI2:CI15" si="12">IF($I2=V2,0,1)</f>
        <v>0</v>
      </c>
      <c r="CJ2">
        <f t="shared" ref="CJ2:CJ15" si="13">IF($I2=W2,0,1)</f>
        <v>0</v>
      </c>
      <c r="CK2">
        <f t="shared" ref="CK2:CK15" si="14">IF($I2=X2,0,1)</f>
        <v>0</v>
      </c>
      <c r="CL2">
        <f t="shared" ref="CL2:CL15" si="15">IF($I2=Y2,0,1)</f>
        <v>1</v>
      </c>
      <c r="CM2">
        <f t="shared" ref="CM2:CM15" si="16">IF($I2=Z2,0,1)</f>
        <v>0</v>
      </c>
      <c r="CN2">
        <f t="shared" ref="CN2:CN15" si="17">IF($I2=AA2,0,1)</f>
        <v>0</v>
      </c>
      <c r="CO2">
        <f t="shared" ref="CO2:CO15" si="18">IF($I2=AB2,0,1)</f>
        <v>1</v>
      </c>
      <c r="CP2">
        <f t="shared" ref="CP2:CP15" si="19">IF($I2=AC2,0,1)</f>
        <v>0</v>
      </c>
      <c r="CQ2">
        <f t="shared" ref="CQ2:CQ15" si="20">IF($I2=AD2,0,1)</f>
        <v>1</v>
      </c>
      <c r="CR2">
        <f t="shared" ref="CR2:CR15" si="21">IF($I2=AE2,0,1)</f>
        <v>0</v>
      </c>
      <c r="CS2">
        <f t="shared" ref="CS2:CS15" si="22">IF($I2=AF2,0,1)</f>
        <v>0</v>
      </c>
      <c r="CT2">
        <f t="shared" ref="CT2:CT15" si="23">IF($I2=AG2,0,1)</f>
        <v>1</v>
      </c>
      <c r="CU2">
        <f t="shared" ref="CU2:CU15" si="24">IF($I2=AH2,0,1)</f>
        <v>0</v>
      </c>
      <c r="CV2">
        <f t="shared" ref="CV2:CV15" si="25">IF($I2=AI2,0,1)</f>
        <v>0</v>
      </c>
      <c r="CW2">
        <f t="shared" ref="CW2:CW15" si="26">IF($I2=AJ2,0,1)</f>
        <v>0</v>
      </c>
      <c r="CX2">
        <f t="shared" ref="CX2:CX15" si="27">IF($I2=AK2,0,1)</f>
        <v>1</v>
      </c>
      <c r="CY2">
        <f t="shared" ref="CY2:CY15" si="28">IF($I2=AL2,0,1)</f>
        <v>0</v>
      </c>
      <c r="CZ2">
        <f t="shared" ref="CZ2:CZ15" si="29">IF($I2=AM2,0,1)</f>
        <v>0</v>
      </c>
      <c r="DA2">
        <f t="shared" ref="DA2:DA15" si="30">IF($I2=AN2,0,1)</f>
        <v>0</v>
      </c>
      <c r="DB2">
        <f t="shared" ref="DB2:DB15" si="31">IF($I2=AO2,0,1)</f>
        <v>0</v>
      </c>
      <c r="DC2">
        <f t="shared" ref="DC2:DC15" si="32">IF($I2=AP2,0,1)</f>
        <v>1</v>
      </c>
      <c r="DD2">
        <f t="shared" ref="DD2:DD15" si="33">IF($I2=AQ2,0,1)</f>
        <v>0</v>
      </c>
      <c r="DE2">
        <f t="shared" ref="DE2:DE15" si="34">IF($I2=AR2,0,1)</f>
        <v>1</v>
      </c>
      <c r="DF2">
        <f t="shared" ref="DF2:DF15" si="35">IF($I2=AS2,0,1)</f>
        <v>0</v>
      </c>
      <c r="DG2">
        <f t="shared" ref="DG2:DG15" si="36">IF($I2=AT2,0,1)</f>
        <v>0</v>
      </c>
      <c r="DH2">
        <f t="shared" ref="DH2:DH15" si="37">IF($I2=AU2,0,1)</f>
        <v>0</v>
      </c>
      <c r="DI2">
        <f t="shared" ref="DI2:DI15" si="38">IF($I2=AV2,0,1)</f>
        <v>0</v>
      </c>
      <c r="DJ2">
        <f t="shared" ref="DJ2:DJ15" si="39">IF($I2=AW2,0,1)</f>
        <v>0</v>
      </c>
      <c r="DK2">
        <f t="shared" ref="DK2:DK15" si="40">IF($I2=AX2,0,1)</f>
        <v>0</v>
      </c>
      <c r="DL2">
        <f t="shared" ref="DL2:DL15" si="41">IF($I2=AY2,0,1)</f>
        <v>1</v>
      </c>
      <c r="DM2">
        <f t="shared" ref="DM2:DM15" si="42">IF($I2=AZ2,0,1)</f>
        <v>0</v>
      </c>
      <c r="DN2">
        <f t="shared" ref="DN2:DN15" si="43">IF($I2=BA2,0,1)</f>
        <v>0</v>
      </c>
      <c r="DO2">
        <f t="shared" ref="DO2:DO15" si="44">IF($I2=BB2,0,1)</f>
        <v>0</v>
      </c>
      <c r="DP2">
        <f t="shared" ref="DP2:DP15" si="45">IF($I2=BC2,0,1)</f>
        <v>0</v>
      </c>
      <c r="DQ2">
        <f t="shared" ref="DQ2:DQ15" si="46">IF($I2=BD2,0,1)</f>
        <v>0</v>
      </c>
      <c r="DR2">
        <f t="shared" ref="DR2:DR15" si="47">IF($I2=BE2,0,1)</f>
        <v>0</v>
      </c>
      <c r="DS2">
        <f t="shared" ref="DS2:DS15" si="48">IF($I2=BF2,0,1)</f>
        <v>0</v>
      </c>
      <c r="DT2">
        <f t="shared" ref="DT2:DT15" si="49">IF($I2=BG2,0,1)</f>
        <v>0</v>
      </c>
      <c r="DU2">
        <f t="shared" ref="DU2:DU15" si="50">IF($I2=BH2,0,1)</f>
        <v>0</v>
      </c>
      <c r="DV2">
        <f t="shared" ref="DV2:DV15" si="51">IF($I2=BI2,0,1)</f>
        <v>0</v>
      </c>
      <c r="DW2">
        <f t="shared" ref="DW2:DW15" si="52">IF($I2=BJ2,0,1)</f>
        <v>0</v>
      </c>
      <c r="DX2">
        <f t="shared" ref="DX2:DX15" si="53">IF($I2=BK2,0,1)</f>
        <v>0</v>
      </c>
      <c r="DY2">
        <f t="shared" ref="DY2:DY15" si="54">IF($I2=BL2,0,1)</f>
        <v>1</v>
      </c>
      <c r="DZ2">
        <f t="shared" ref="DZ2:DZ15" si="55">IF($I2=BM2,0,1)</f>
        <v>0</v>
      </c>
      <c r="EA2">
        <f t="shared" ref="EA2:EA15" si="56">IF($I2=BN2,0,1)</f>
        <v>0</v>
      </c>
      <c r="EB2">
        <f t="shared" ref="EB2:EB15" si="57">IF($I2=BO2,0,1)</f>
        <v>0</v>
      </c>
      <c r="EC2">
        <f t="shared" ref="EC2:EC15" si="58">IF($I2=BP2,0,1)</f>
        <v>0</v>
      </c>
      <c r="ED2">
        <f t="shared" ref="ED2:ED15" si="59">IF($I2=BQ2,0,1)</f>
        <v>0</v>
      </c>
      <c r="EE2">
        <f t="shared" ref="EE2:EE15" si="60">IF($I2=BR2,0,1)</f>
        <v>1</v>
      </c>
      <c r="EF2">
        <f t="shared" ref="EF2:EF15" si="61">IF($I2=BS2,0,1)</f>
        <v>0</v>
      </c>
      <c r="EG2">
        <f t="shared" ref="EG2:EG15" si="62">IF($I2=BT2,0,1)</f>
        <v>0</v>
      </c>
      <c r="EH2">
        <f t="shared" ref="EH2:EH15" si="63">IF($I2=BU2,0,1)</f>
        <v>0</v>
      </c>
      <c r="EI2">
        <f t="shared" ref="EI2:EI15" si="64">IF($I2=BV2,0,1)</f>
        <v>0</v>
      </c>
      <c r="EJ2">
        <f t="shared" ref="EJ2:EJ15" si="65">SUM(BW2:EI2)</f>
        <v>12</v>
      </c>
    </row>
    <row r="3" spans="1:149">
      <c r="A3" t="s">
        <v>70</v>
      </c>
      <c r="B3" s="1">
        <v>984618</v>
      </c>
      <c r="C3" s="1">
        <v>984618</v>
      </c>
      <c r="D3">
        <v>29986.89</v>
      </c>
      <c r="E3" t="s">
        <v>77</v>
      </c>
      <c r="F3" t="s">
        <v>78</v>
      </c>
      <c r="G3" t="s">
        <v>79</v>
      </c>
      <c r="H3" t="s">
        <v>80</v>
      </c>
      <c r="I3" t="s">
        <v>76</v>
      </c>
      <c r="J3" t="s">
        <v>76</v>
      </c>
      <c r="K3" t="s">
        <v>76</v>
      </c>
      <c r="L3" t="s">
        <v>76</v>
      </c>
      <c r="M3" t="s">
        <v>75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76</v>
      </c>
      <c r="U3" t="s">
        <v>76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75</v>
      </c>
      <c r="AC3" t="s">
        <v>76</v>
      </c>
      <c r="AD3" t="s">
        <v>76</v>
      </c>
      <c r="AE3" t="s">
        <v>76</v>
      </c>
      <c r="AF3" t="s">
        <v>76</v>
      </c>
      <c r="AG3" t="s">
        <v>75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75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76</v>
      </c>
      <c r="BL3" t="s">
        <v>75</v>
      </c>
      <c r="BM3" t="s">
        <v>76</v>
      </c>
      <c r="BN3" t="s">
        <v>76</v>
      </c>
      <c r="BO3" t="s">
        <v>76</v>
      </c>
      <c r="BP3" t="s">
        <v>76</v>
      </c>
      <c r="BQ3" t="s">
        <v>76</v>
      </c>
      <c r="BR3" t="s">
        <v>76</v>
      </c>
      <c r="BS3" t="s">
        <v>76</v>
      </c>
      <c r="BT3" t="s">
        <v>76</v>
      </c>
      <c r="BU3" t="s">
        <v>76</v>
      </c>
      <c r="BV3" t="s">
        <v>76</v>
      </c>
      <c r="BW3">
        <f t="shared" si="0"/>
        <v>0</v>
      </c>
      <c r="BX3">
        <f t="shared" si="1"/>
        <v>0</v>
      </c>
      <c r="BY3">
        <f t="shared" si="2"/>
        <v>0</v>
      </c>
      <c r="BZ3">
        <f t="shared" si="3"/>
        <v>1</v>
      </c>
      <c r="CA3">
        <f t="shared" si="4"/>
        <v>0</v>
      </c>
      <c r="CB3">
        <f t="shared" si="5"/>
        <v>0</v>
      </c>
      <c r="CC3">
        <f t="shared" si="6"/>
        <v>0</v>
      </c>
      <c r="CD3">
        <f t="shared" si="7"/>
        <v>0</v>
      </c>
      <c r="CE3">
        <f t="shared" si="8"/>
        <v>0</v>
      </c>
      <c r="CF3">
        <f t="shared" si="9"/>
        <v>0</v>
      </c>
      <c r="CG3">
        <f t="shared" si="10"/>
        <v>0</v>
      </c>
      <c r="CH3">
        <f t="shared" si="11"/>
        <v>0</v>
      </c>
      <c r="CI3">
        <f t="shared" si="12"/>
        <v>0</v>
      </c>
      <c r="CJ3">
        <f t="shared" si="13"/>
        <v>0</v>
      </c>
      <c r="CK3">
        <f t="shared" si="14"/>
        <v>0</v>
      </c>
      <c r="CL3">
        <f t="shared" si="15"/>
        <v>0</v>
      </c>
      <c r="CM3">
        <f t="shared" si="16"/>
        <v>0</v>
      </c>
      <c r="CN3">
        <f t="shared" si="17"/>
        <v>0</v>
      </c>
      <c r="CO3">
        <f t="shared" si="18"/>
        <v>1</v>
      </c>
      <c r="CP3">
        <f t="shared" si="19"/>
        <v>0</v>
      </c>
      <c r="CQ3">
        <f t="shared" si="20"/>
        <v>0</v>
      </c>
      <c r="CR3">
        <f t="shared" si="21"/>
        <v>0</v>
      </c>
      <c r="CS3">
        <f t="shared" si="22"/>
        <v>0</v>
      </c>
      <c r="CT3">
        <f t="shared" si="23"/>
        <v>1</v>
      </c>
      <c r="CU3">
        <f t="shared" si="24"/>
        <v>0</v>
      </c>
      <c r="CV3">
        <f t="shared" si="25"/>
        <v>0</v>
      </c>
      <c r="CW3">
        <f t="shared" si="26"/>
        <v>0</v>
      </c>
      <c r="CX3">
        <f t="shared" si="27"/>
        <v>0</v>
      </c>
      <c r="CY3">
        <f t="shared" si="28"/>
        <v>0</v>
      </c>
      <c r="CZ3">
        <f t="shared" si="29"/>
        <v>0</v>
      </c>
      <c r="DA3">
        <f t="shared" si="30"/>
        <v>0</v>
      </c>
      <c r="DB3">
        <f t="shared" si="31"/>
        <v>0</v>
      </c>
      <c r="DC3">
        <f t="shared" si="32"/>
        <v>0</v>
      </c>
      <c r="DD3">
        <f t="shared" si="33"/>
        <v>0</v>
      </c>
      <c r="DE3">
        <f t="shared" si="34"/>
        <v>0</v>
      </c>
      <c r="DF3">
        <f t="shared" si="35"/>
        <v>0</v>
      </c>
      <c r="DG3">
        <f t="shared" si="36"/>
        <v>0</v>
      </c>
      <c r="DH3">
        <f t="shared" si="37"/>
        <v>0</v>
      </c>
      <c r="DI3">
        <f t="shared" si="38"/>
        <v>0</v>
      </c>
      <c r="DJ3">
        <f t="shared" si="39"/>
        <v>0</v>
      </c>
      <c r="DK3">
        <f t="shared" si="40"/>
        <v>0</v>
      </c>
      <c r="DL3">
        <f t="shared" si="41"/>
        <v>1</v>
      </c>
      <c r="DM3">
        <f t="shared" si="42"/>
        <v>0</v>
      </c>
      <c r="DN3">
        <f t="shared" si="43"/>
        <v>0</v>
      </c>
      <c r="DO3">
        <f t="shared" si="44"/>
        <v>0</v>
      </c>
      <c r="DP3">
        <f t="shared" si="45"/>
        <v>0</v>
      </c>
      <c r="DQ3">
        <f t="shared" si="46"/>
        <v>0</v>
      </c>
      <c r="DR3">
        <f t="shared" si="47"/>
        <v>0</v>
      </c>
      <c r="DS3">
        <f t="shared" si="48"/>
        <v>0</v>
      </c>
      <c r="DT3">
        <f t="shared" si="49"/>
        <v>0</v>
      </c>
      <c r="DU3">
        <f t="shared" si="50"/>
        <v>0</v>
      </c>
      <c r="DV3">
        <f t="shared" si="51"/>
        <v>0</v>
      </c>
      <c r="DW3">
        <f t="shared" si="52"/>
        <v>0</v>
      </c>
      <c r="DX3">
        <f t="shared" si="53"/>
        <v>0</v>
      </c>
      <c r="DY3">
        <f t="shared" si="54"/>
        <v>1</v>
      </c>
      <c r="DZ3">
        <f t="shared" si="55"/>
        <v>0</v>
      </c>
      <c r="EA3">
        <f t="shared" si="56"/>
        <v>0</v>
      </c>
      <c r="EB3">
        <f t="shared" si="57"/>
        <v>0</v>
      </c>
      <c r="EC3">
        <f t="shared" si="58"/>
        <v>0</v>
      </c>
      <c r="ED3">
        <f t="shared" si="59"/>
        <v>0</v>
      </c>
      <c r="EE3">
        <f t="shared" si="60"/>
        <v>0</v>
      </c>
      <c r="EF3">
        <f t="shared" si="61"/>
        <v>0</v>
      </c>
      <c r="EG3">
        <f t="shared" si="62"/>
        <v>0</v>
      </c>
      <c r="EH3">
        <f t="shared" si="63"/>
        <v>0</v>
      </c>
      <c r="EI3">
        <f t="shared" si="64"/>
        <v>0</v>
      </c>
      <c r="EJ3">
        <f t="shared" si="65"/>
        <v>5</v>
      </c>
    </row>
    <row r="4" spans="1:149">
      <c r="A4" t="s">
        <v>70</v>
      </c>
      <c r="B4" s="1">
        <v>109431</v>
      </c>
      <c r="C4" s="1">
        <v>109431</v>
      </c>
      <c r="D4">
        <v>33840.54</v>
      </c>
      <c r="E4" t="s">
        <v>71</v>
      </c>
      <c r="F4" t="s">
        <v>72</v>
      </c>
      <c r="G4" t="s">
        <v>81</v>
      </c>
      <c r="H4" t="s">
        <v>82</v>
      </c>
      <c r="I4" t="s">
        <v>83</v>
      </c>
      <c r="J4" t="s">
        <v>83</v>
      </c>
      <c r="K4" t="s">
        <v>83</v>
      </c>
      <c r="L4" t="s">
        <v>83</v>
      </c>
      <c r="M4" t="s">
        <v>84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84</v>
      </c>
      <c r="AC4" t="s">
        <v>83</v>
      </c>
      <c r="AD4" t="s">
        <v>83</v>
      </c>
      <c r="AE4" t="s">
        <v>83</v>
      </c>
      <c r="AF4" t="s">
        <v>83</v>
      </c>
      <c r="AG4" t="s">
        <v>84</v>
      </c>
      <c r="AH4" t="s">
        <v>83</v>
      </c>
      <c r="AI4" t="s">
        <v>83</v>
      </c>
      <c r="AJ4" t="s">
        <v>83</v>
      </c>
      <c r="AK4" t="s">
        <v>83</v>
      </c>
      <c r="AL4" t="s">
        <v>83</v>
      </c>
      <c r="AM4" t="s">
        <v>83</v>
      </c>
      <c r="AN4" t="s">
        <v>83</v>
      </c>
      <c r="AO4" t="s">
        <v>83</v>
      </c>
      <c r="AP4" t="s">
        <v>83</v>
      </c>
      <c r="AQ4" t="s">
        <v>83</v>
      </c>
      <c r="AR4" t="s">
        <v>83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83</v>
      </c>
      <c r="AY4" t="s">
        <v>84</v>
      </c>
      <c r="AZ4" t="s">
        <v>83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84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>
        <f t="shared" si="0"/>
        <v>0</v>
      </c>
      <c r="BX4">
        <f t="shared" si="1"/>
        <v>0</v>
      </c>
      <c r="BY4">
        <f t="shared" si="2"/>
        <v>0</v>
      </c>
      <c r="BZ4">
        <f t="shared" si="3"/>
        <v>1</v>
      </c>
      <c r="CA4">
        <f t="shared" si="4"/>
        <v>0</v>
      </c>
      <c r="CB4">
        <f t="shared" si="5"/>
        <v>0</v>
      </c>
      <c r="CC4">
        <f t="shared" si="6"/>
        <v>0</v>
      </c>
      <c r="CD4">
        <f t="shared" si="7"/>
        <v>0</v>
      </c>
      <c r="CE4">
        <f t="shared" si="8"/>
        <v>0</v>
      </c>
      <c r="CF4">
        <f t="shared" si="9"/>
        <v>0</v>
      </c>
      <c r="CG4">
        <f t="shared" si="10"/>
        <v>0</v>
      </c>
      <c r="CH4">
        <f t="shared" si="11"/>
        <v>0</v>
      </c>
      <c r="CI4">
        <f t="shared" si="12"/>
        <v>0</v>
      </c>
      <c r="CJ4">
        <f t="shared" si="13"/>
        <v>0</v>
      </c>
      <c r="CK4">
        <f t="shared" si="14"/>
        <v>0</v>
      </c>
      <c r="CL4">
        <f t="shared" si="15"/>
        <v>0</v>
      </c>
      <c r="CM4">
        <f t="shared" si="16"/>
        <v>0</v>
      </c>
      <c r="CN4">
        <f t="shared" si="17"/>
        <v>0</v>
      </c>
      <c r="CO4">
        <f t="shared" si="18"/>
        <v>1</v>
      </c>
      <c r="CP4">
        <f t="shared" si="19"/>
        <v>0</v>
      </c>
      <c r="CQ4">
        <f t="shared" si="20"/>
        <v>0</v>
      </c>
      <c r="CR4">
        <f t="shared" si="21"/>
        <v>0</v>
      </c>
      <c r="CS4">
        <f t="shared" si="22"/>
        <v>0</v>
      </c>
      <c r="CT4">
        <f t="shared" si="23"/>
        <v>1</v>
      </c>
      <c r="CU4">
        <f t="shared" si="24"/>
        <v>0</v>
      </c>
      <c r="CV4">
        <f t="shared" si="25"/>
        <v>0</v>
      </c>
      <c r="CW4">
        <f t="shared" si="26"/>
        <v>0</v>
      </c>
      <c r="CX4">
        <f t="shared" si="27"/>
        <v>0</v>
      </c>
      <c r="CY4">
        <f t="shared" si="28"/>
        <v>0</v>
      </c>
      <c r="CZ4">
        <f t="shared" si="29"/>
        <v>0</v>
      </c>
      <c r="DA4">
        <f t="shared" si="30"/>
        <v>0</v>
      </c>
      <c r="DB4">
        <f t="shared" si="31"/>
        <v>0</v>
      </c>
      <c r="DC4">
        <f t="shared" si="32"/>
        <v>0</v>
      </c>
      <c r="DD4">
        <f t="shared" si="33"/>
        <v>0</v>
      </c>
      <c r="DE4">
        <f t="shared" si="34"/>
        <v>0</v>
      </c>
      <c r="DF4">
        <f t="shared" si="35"/>
        <v>0</v>
      </c>
      <c r="DG4">
        <f t="shared" si="36"/>
        <v>0</v>
      </c>
      <c r="DH4">
        <f t="shared" si="37"/>
        <v>0</v>
      </c>
      <c r="DI4">
        <f t="shared" si="38"/>
        <v>0</v>
      </c>
      <c r="DJ4">
        <f t="shared" si="39"/>
        <v>0</v>
      </c>
      <c r="DK4">
        <f t="shared" si="40"/>
        <v>0</v>
      </c>
      <c r="DL4">
        <f t="shared" si="41"/>
        <v>1</v>
      </c>
      <c r="DM4">
        <f t="shared" si="42"/>
        <v>0</v>
      </c>
      <c r="DN4">
        <f t="shared" si="43"/>
        <v>0</v>
      </c>
      <c r="DO4">
        <f t="shared" si="44"/>
        <v>0</v>
      </c>
      <c r="DP4">
        <f t="shared" si="45"/>
        <v>0</v>
      </c>
      <c r="DQ4">
        <f t="shared" si="46"/>
        <v>0</v>
      </c>
      <c r="DR4">
        <f t="shared" si="47"/>
        <v>0</v>
      </c>
      <c r="DS4">
        <f t="shared" si="48"/>
        <v>0</v>
      </c>
      <c r="DT4">
        <f t="shared" si="49"/>
        <v>0</v>
      </c>
      <c r="DU4">
        <f t="shared" si="50"/>
        <v>0</v>
      </c>
      <c r="DV4">
        <f t="shared" si="51"/>
        <v>0</v>
      </c>
      <c r="DW4">
        <f t="shared" si="52"/>
        <v>0</v>
      </c>
      <c r="DX4">
        <f t="shared" si="53"/>
        <v>0</v>
      </c>
      <c r="DY4">
        <f t="shared" si="54"/>
        <v>1</v>
      </c>
      <c r="DZ4">
        <f t="shared" si="55"/>
        <v>0</v>
      </c>
      <c r="EA4">
        <f t="shared" si="56"/>
        <v>0</v>
      </c>
      <c r="EB4">
        <f t="shared" si="57"/>
        <v>0</v>
      </c>
      <c r="EC4">
        <f t="shared" si="58"/>
        <v>0</v>
      </c>
      <c r="ED4">
        <f t="shared" si="59"/>
        <v>0</v>
      </c>
      <c r="EE4">
        <f t="shared" si="60"/>
        <v>0</v>
      </c>
      <c r="EF4">
        <f t="shared" si="61"/>
        <v>0</v>
      </c>
      <c r="EG4">
        <f t="shared" si="62"/>
        <v>0</v>
      </c>
      <c r="EH4">
        <f t="shared" si="63"/>
        <v>0</v>
      </c>
      <c r="EI4">
        <f t="shared" si="64"/>
        <v>0</v>
      </c>
      <c r="EJ4">
        <f t="shared" si="65"/>
        <v>5</v>
      </c>
    </row>
    <row r="5" spans="1:149">
      <c r="A5" t="s">
        <v>70</v>
      </c>
      <c r="B5" s="1">
        <v>753958</v>
      </c>
      <c r="C5" s="1">
        <v>753958</v>
      </c>
      <c r="D5">
        <v>13576.47</v>
      </c>
      <c r="E5" t="s">
        <v>71</v>
      </c>
      <c r="F5" t="s">
        <v>72</v>
      </c>
      <c r="G5" t="s">
        <v>85</v>
      </c>
      <c r="H5" t="s">
        <v>86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76</v>
      </c>
      <c r="AG5" t="s">
        <v>83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Q5" t="s">
        <v>83</v>
      </c>
      <c r="AR5" t="s">
        <v>83</v>
      </c>
      <c r="AS5" t="s">
        <v>83</v>
      </c>
      <c r="AT5" t="s">
        <v>83</v>
      </c>
      <c r="AU5" t="s">
        <v>83</v>
      </c>
      <c r="AV5" t="s">
        <v>83</v>
      </c>
      <c r="AW5" t="s">
        <v>83</v>
      </c>
      <c r="AX5" t="s">
        <v>83</v>
      </c>
      <c r="AY5" t="s">
        <v>83</v>
      </c>
      <c r="AZ5" t="s">
        <v>83</v>
      </c>
      <c r="BA5" t="s">
        <v>83</v>
      </c>
      <c r="BB5" t="s">
        <v>83</v>
      </c>
      <c r="BC5" t="s">
        <v>83</v>
      </c>
      <c r="BD5" t="s">
        <v>83</v>
      </c>
      <c r="BE5" t="s">
        <v>76</v>
      </c>
      <c r="BF5" t="s">
        <v>76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83</v>
      </c>
      <c r="BM5" t="s">
        <v>83</v>
      </c>
      <c r="BN5" t="s">
        <v>83</v>
      </c>
      <c r="BO5" t="s">
        <v>83</v>
      </c>
      <c r="BP5" t="s">
        <v>83</v>
      </c>
      <c r="BQ5" t="s">
        <v>83</v>
      </c>
      <c r="BR5" t="s">
        <v>83</v>
      </c>
      <c r="BS5" t="s">
        <v>83</v>
      </c>
      <c r="BT5" t="s">
        <v>83</v>
      </c>
      <c r="BU5" t="s">
        <v>83</v>
      </c>
      <c r="BV5" t="s">
        <v>83</v>
      </c>
      <c r="BW5">
        <f t="shared" si="0"/>
        <v>0</v>
      </c>
      <c r="BX5">
        <f t="shared" si="1"/>
        <v>0</v>
      </c>
      <c r="BY5">
        <f t="shared" si="2"/>
        <v>0</v>
      </c>
      <c r="BZ5">
        <f t="shared" si="3"/>
        <v>0</v>
      </c>
      <c r="CA5">
        <f t="shared" si="4"/>
        <v>0</v>
      </c>
      <c r="CB5">
        <f t="shared" si="5"/>
        <v>0</v>
      </c>
      <c r="CC5">
        <f t="shared" si="6"/>
        <v>0</v>
      </c>
      <c r="CD5">
        <f t="shared" si="7"/>
        <v>0</v>
      </c>
      <c r="CE5">
        <f t="shared" si="8"/>
        <v>0</v>
      </c>
      <c r="CF5">
        <f t="shared" si="9"/>
        <v>0</v>
      </c>
      <c r="CG5">
        <f t="shared" si="10"/>
        <v>0</v>
      </c>
      <c r="CH5">
        <f t="shared" si="11"/>
        <v>0</v>
      </c>
      <c r="CI5">
        <f t="shared" si="12"/>
        <v>0</v>
      </c>
      <c r="CJ5">
        <f t="shared" si="13"/>
        <v>0</v>
      </c>
      <c r="CK5">
        <f t="shared" si="14"/>
        <v>0</v>
      </c>
      <c r="CL5">
        <f t="shared" si="15"/>
        <v>0</v>
      </c>
      <c r="CM5">
        <f t="shared" si="16"/>
        <v>0</v>
      </c>
      <c r="CN5">
        <f t="shared" si="17"/>
        <v>0</v>
      </c>
      <c r="CO5">
        <f t="shared" si="18"/>
        <v>0</v>
      </c>
      <c r="CP5">
        <f t="shared" si="19"/>
        <v>0</v>
      </c>
      <c r="CQ5">
        <f t="shared" si="20"/>
        <v>0</v>
      </c>
      <c r="CR5">
        <f t="shared" si="21"/>
        <v>0</v>
      </c>
      <c r="CS5">
        <f t="shared" si="22"/>
        <v>1</v>
      </c>
      <c r="CT5">
        <f t="shared" si="23"/>
        <v>0</v>
      </c>
      <c r="CU5">
        <f t="shared" si="24"/>
        <v>0</v>
      </c>
      <c r="CV5">
        <f t="shared" si="25"/>
        <v>0</v>
      </c>
      <c r="CW5">
        <f t="shared" si="26"/>
        <v>0</v>
      </c>
      <c r="CX5">
        <f t="shared" si="27"/>
        <v>0</v>
      </c>
      <c r="CY5">
        <f t="shared" si="28"/>
        <v>0</v>
      </c>
      <c r="CZ5">
        <f t="shared" si="29"/>
        <v>0</v>
      </c>
      <c r="DA5">
        <f t="shared" si="30"/>
        <v>0</v>
      </c>
      <c r="DB5">
        <f t="shared" si="31"/>
        <v>0</v>
      </c>
      <c r="DC5">
        <f t="shared" si="32"/>
        <v>0</v>
      </c>
      <c r="DD5">
        <f t="shared" si="33"/>
        <v>0</v>
      </c>
      <c r="DE5">
        <f t="shared" si="34"/>
        <v>0</v>
      </c>
      <c r="DF5">
        <f t="shared" si="35"/>
        <v>0</v>
      </c>
      <c r="DG5">
        <f t="shared" si="36"/>
        <v>0</v>
      </c>
      <c r="DH5">
        <f t="shared" si="37"/>
        <v>0</v>
      </c>
      <c r="DI5">
        <f t="shared" si="38"/>
        <v>0</v>
      </c>
      <c r="DJ5">
        <f t="shared" si="39"/>
        <v>0</v>
      </c>
      <c r="DK5">
        <f t="shared" si="40"/>
        <v>0</v>
      </c>
      <c r="DL5">
        <f t="shared" si="41"/>
        <v>0</v>
      </c>
      <c r="DM5">
        <f t="shared" si="42"/>
        <v>0</v>
      </c>
      <c r="DN5">
        <f t="shared" si="43"/>
        <v>0</v>
      </c>
      <c r="DO5">
        <f t="shared" si="44"/>
        <v>0</v>
      </c>
      <c r="DP5">
        <f t="shared" si="45"/>
        <v>0</v>
      </c>
      <c r="DQ5">
        <f t="shared" si="46"/>
        <v>0</v>
      </c>
      <c r="DR5">
        <f t="shared" si="47"/>
        <v>1</v>
      </c>
      <c r="DS5">
        <f t="shared" si="48"/>
        <v>1</v>
      </c>
      <c r="DT5">
        <f t="shared" si="49"/>
        <v>0</v>
      </c>
      <c r="DU5">
        <f t="shared" si="50"/>
        <v>0</v>
      </c>
      <c r="DV5">
        <f t="shared" si="51"/>
        <v>0</v>
      </c>
      <c r="DW5">
        <f t="shared" si="52"/>
        <v>0</v>
      </c>
      <c r="DX5">
        <f t="shared" si="53"/>
        <v>0</v>
      </c>
      <c r="DY5">
        <f t="shared" si="54"/>
        <v>0</v>
      </c>
      <c r="DZ5">
        <f t="shared" si="55"/>
        <v>0</v>
      </c>
      <c r="EA5">
        <f t="shared" si="56"/>
        <v>0</v>
      </c>
      <c r="EB5">
        <f t="shared" si="57"/>
        <v>0</v>
      </c>
      <c r="EC5">
        <f t="shared" si="58"/>
        <v>0</v>
      </c>
      <c r="ED5">
        <f t="shared" si="59"/>
        <v>0</v>
      </c>
      <c r="EE5">
        <f t="shared" si="60"/>
        <v>0</v>
      </c>
      <c r="EF5">
        <f t="shared" si="61"/>
        <v>0</v>
      </c>
      <c r="EG5">
        <f t="shared" si="62"/>
        <v>0</v>
      </c>
      <c r="EH5">
        <f t="shared" si="63"/>
        <v>0</v>
      </c>
      <c r="EI5">
        <f t="shared" si="64"/>
        <v>0</v>
      </c>
      <c r="EJ5">
        <f t="shared" si="65"/>
        <v>3</v>
      </c>
    </row>
    <row r="6" spans="1:149">
      <c r="A6" t="s">
        <v>70</v>
      </c>
      <c r="B6" s="1">
        <v>50800</v>
      </c>
      <c r="C6" s="1">
        <v>50800</v>
      </c>
      <c r="D6">
        <v>11676.29</v>
      </c>
      <c r="E6" t="s">
        <v>71</v>
      </c>
      <c r="F6" t="s">
        <v>72</v>
      </c>
      <c r="G6" t="s">
        <v>87</v>
      </c>
      <c r="H6" t="s">
        <v>88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75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75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>
        <f t="shared" si="0"/>
        <v>0</v>
      </c>
      <c r="BX6">
        <f t="shared" si="1"/>
        <v>0</v>
      </c>
      <c r="BY6">
        <f t="shared" si="2"/>
        <v>0</v>
      </c>
      <c r="BZ6">
        <f t="shared" si="3"/>
        <v>0</v>
      </c>
      <c r="CA6">
        <f t="shared" si="4"/>
        <v>0</v>
      </c>
      <c r="CB6">
        <f t="shared" si="5"/>
        <v>0</v>
      </c>
      <c r="CC6">
        <f t="shared" si="6"/>
        <v>0</v>
      </c>
      <c r="CD6">
        <f t="shared" si="7"/>
        <v>0</v>
      </c>
      <c r="CE6">
        <f t="shared" si="8"/>
        <v>0</v>
      </c>
      <c r="CF6">
        <f t="shared" si="9"/>
        <v>0</v>
      </c>
      <c r="CG6">
        <f t="shared" si="10"/>
        <v>0</v>
      </c>
      <c r="CH6">
        <f t="shared" si="11"/>
        <v>0</v>
      </c>
      <c r="CI6">
        <f t="shared" si="12"/>
        <v>0</v>
      </c>
      <c r="CJ6">
        <f t="shared" si="13"/>
        <v>0</v>
      </c>
      <c r="CK6">
        <f t="shared" si="14"/>
        <v>0</v>
      </c>
      <c r="CL6">
        <f t="shared" si="15"/>
        <v>0</v>
      </c>
      <c r="CM6">
        <f t="shared" si="16"/>
        <v>0</v>
      </c>
      <c r="CN6">
        <f t="shared" si="17"/>
        <v>0</v>
      </c>
      <c r="CO6">
        <f t="shared" si="18"/>
        <v>0</v>
      </c>
      <c r="CP6">
        <f t="shared" si="19"/>
        <v>0</v>
      </c>
      <c r="CQ6">
        <f t="shared" si="20"/>
        <v>0</v>
      </c>
      <c r="CR6">
        <f t="shared" si="21"/>
        <v>0</v>
      </c>
      <c r="CS6">
        <f t="shared" si="22"/>
        <v>0</v>
      </c>
      <c r="CT6">
        <f t="shared" si="23"/>
        <v>0</v>
      </c>
      <c r="CU6">
        <f t="shared" si="24"/>
        <v>0</v>
      </c>
      <c r="CV6">
        <f t="shared" si="25"/>
        <v>0</v>
      </c>
      <c r="CW6">
        <f t="shared" si="26"/>
        <v>0</v>
      </c>
      <c r="CX6">
        <f t="shared" si="27"/>
        <v>0</v>
      </c>
      <c r="CY6">
        <f t="shared" si="28"/>
        <v>0</v>
      </c>
      <c r="CZ6">
        <f t="shared" si="29"/>
        <v>0</v>
      </c>
      <c r="DA6">
        <f t="shared" si="30"/>
        <v>1</v>
      </c>
      <c r="DB6">
        <f t="shared" si="31"/>
        <v>0</v>
      </c>
      <c r="DC6">
        <f t="shared" si="32"/>
        <v>0</v>
      </c>
      <c r="DD6">
        <f t="shared" si="33"/>
        <v>0</v>
      </c>
      <c r="DE6">
        <f t="shared" si="34"/>
        <v>0</v>
      </c>
      <c r="DF6">
        <f t="shared" si="35"/>
        <v>0</v>
      </c>
      <c r="DG6">
        <f t="shared" si="36"/>
        <v>0</v>
      </c>
      <c r="DH6">
        <f t="shared" si="37"/>
        <v>0</v>
      </c>
      <c r="DI6">
        <f t="shared" si="38"/>
        <v>0</v>
      </c>
      <c r="DJ6">
        <f t="shared" si="39"/>
        <v>0</v>
      </c>
      <c r="DK6">
        <f t="shared" si="40"/>
        <v>0</v>
      </c>
      <c r="DL6">
        <f t="shared" si="41"/>
        <v>0</v>
      </c>
      <c r="DM6">
        <f t="shared" si="42"/>
        <v>0</v>
      </c>
      <c r="DN6">
        <f t="shared" si="43"/>
        <v>0</v>
      </c>
      <c r="DO6">
        <f t="shared" si="44"/>
        <v>0</v>
      </c>
      <c r="DP6">
        <f t="shared" si="45"/>
        <v>0</v>
      </c>
      <c r="DQ6">
        <f t="shared" si="46"/>
        <v>1</v>
      </c>
      <c r="DR6">
        <f t="shared" si="47"/>
        <v>0</v>
      </c>
      <c r="DS6">
        <f t="shared" si="48"/>
        <v>0</v>
      </c>
      <c r="DT6">
        <f t="shared" si="49"/>
        <v>0</v>
      </c>
      <c r="DU6">
        <f t="shared" si="50"/>
        <v>0</v>
      </c>
      <c r="DV6">
        <f t="shared" si="51"/>
        <v>0</v>
      </c>
      <c r="DW6">
        <f t="shared" si="52"/>
        <v>0</v>
      </c>
      <c r="DX6">
        <f t="shared" si="53"/>
        <v>0</v>
      </c>
      <c r="DY6">
        <f t="shared" si="54"/>
        <v>0</v>
      </c>
      <c r="DZ6">
        <f t="shared" si="55"/>
        <v>0</v>
      </c>
      <c r="EA6">
        <f t="shared" si="56"/>
        <v>0</v>
      </c>
      <c r="EB6">
        <f t="shared" si="57"/>
        <v>0</v>
      </c>
      <c r="EC6">
        <f t="shared" si="58"/>
        <v>0</v>
      </c>
      <c r="ED6">
        <f t="shared" si="59"/>
        <v>0</v>
      </c>
      <c r="EE6">
        <f t="shared" si="60"/>
        <v>0</v>
      </c>
      <c r="EF6">
        <f t="shared" si="61"/>
        <v>0</v>
      </c>
      <c r="EG6">
        <f t="shared" si="62"/>
        <v>0</v>
      </c>
      <c r="EH6">
        <f t="shared" si="63"/>
        <v>0</v>
      </c>
      <c r="EI6">
        <f t="shared" si="64"/>
        <v>0</v>
      </c>
      <c r="EJ6">
        <f t="shared" si="65"/>
        <v>2</v>
      </c>
    </row>
    <row r="7" spans="1:149">
      <c r="A7" t="s">
        <v>70</v>
      </c>
      <c r="B7" s="1">
        <v>3429452</v>
      </c>
      <c r="C7" s="1">
        <v>3429452</v>
      </c>
      <c r="D7">
        <v>2243.6</v>
      </c>
      <c r="E7" t="s">
        <v>71</v>
      </c>
      <c r="F7" t="s">
        <v>72</v>
      </c>
      <c r="G7" t="s">
        <v>89</v>
      </c>
      <c r="H7" t="s">
        <v>90</v>
      </c>
      <c r="I7" t="s">
        <v>76</v>
      </c>
      <c r="J7" t="s">
        <v>76</v>
      </c>
      <c r="K7" t="s">
        <v>76</v>
      </c>
      <c r="L7" t="s">
        <v>76</v>
      </c>
      <c r="M7" t="s">
        <v>84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84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>
        <f t="shared" si="0"/>
        <v>0</v>
      </c>
      <c r="BX7">
        <f t="shared" si="1"/>
        <v>0</v>
      </c>
      <c r="BY7">
        <f t="shared" si="2"/>
        <v>0</v>
      </c>
      <c r="BZ7">
        <f t="shared" si="3"/>
        <v>1</v>
      </c>
      <c r="CA7">
        <f t="shared" si="4"/>
        <v>0</v>
      </c>
      <c r="CB7">
        <f t="shared" si="5"/>
        <v>0</v>
      </c>
      <c r="CC7">
        <f t="shared" si="6"/>
        <v>0</v>
      </c>
      <c r="CD7">
        <f t="shared" si="7"/>
        <v>0</v>
      </c>
      <c r="CE7">
        <f t="shared" si="8"/>
        <v>0</v>
      </c>
      <c r="CF7">
        <f t="shared" si="9"/>
        <v>0</v>
      </c>
      <c r="CG7">
        <f t="shared" si="10"/>
        <v>0</v>
      </c>
      <c r="CH7">
        <f t="shared" si="11"/>
        <v>0</v>
      </c>
      <c r="CI7">
        <f t="shared" si="12"/>
        <v>0</v>
      </c>
      <c r="CJ7">
        <f t="shared" si="13"/>
        <v>0</v>
      </c>
      <c r="CK7">
        <f t="shared" si="14"/>
        <v>0</v>
      </c>
      <c r="CL7">
        <f t="shared" si="15"/>
        <v>0</v>
      </c>
      <c r="CM7">
        <f t="shared" si="16"/>
        <v>0</v>
      </c>
      <c r="CN7">
        <f t="shared" si="17"/>
        <v>0</v>
      </c>
      <c r="CO7">
        <f t="shared" si="18"/>
        <v>0</v>
      </c>
      <c r="CP7">
        <f t="shared" si="19"/>
        <v>0</v>
      </c>
      <c r="CQ7">
        <f t="shared" si="20"/>
        <v>0</v>
      </c>
      <c r="CR7">
        <f t="shared" si="21"/>
        <v>0</v>
      </c>
      <c r="CS7">
        <f t="shared" si="22"/>
        <v>0</v>
      </c>
      <c r="CT7">
        <f t="shared" si="23"/>
        <v>0</v>
      </c>
      <c r="CU7">
        <f t="shared" si="24"/>
        <v>0</v>
      </c>
      <c r="CV7">
        <f t="shared" si="25"/>
        <v>0</v>
      </c>
      <c r="CW7">
        <f t="shared" si="26"/>
        <v>0</v>
      </c>
      <c r="CX7">
        <f t="shared" si="27"/>
        <v>0</v>
      </c>
      <c r="CY7">
        <f t="shared" si="28"/>
        <v>0</v>
      </c>
      <c r="CZ7">
        <f t="shared" si="29"/>
        <v>0</v>
      </c>
      <c r="DA7">
        <f t="shared" si="30"/>
        <v>0</v>
      </c>
      <c r="DB7">
        <f t="shared" si="31"/>
        <v>0</v>
      </c>
      <c r="DC7">
        <f t="shared" si="32"/>
        <v>0</v>
      </c>
      <c r="DD7">
        <f t="shared" si="33"/>
        <v>0</v>
      </c>
      <c r="DE7">
        <f t="shared" si="34"/>
        <v>0</v>
      </c>
      <c r="DF7">
        <f t="shared" si="35"/>
        <v>0</v>
      </c>
      <c r="DG7">
        <f t="shared" si="36"/>
        <v>0</v>
      </c>
      <c r="DH7">
        <f t="shared" si="37"/>
        <v>0</v>
      </c>
      <c r="DI7">
        <f t="shared" si="38"/>
        <v>0</v>
      </c>
      <c r="DJ7">
        <f t="shared" si="39"/>
        <v>0</v>
      </c>
      <c r="DK7">
        <f t="shared" si="40"/>
        <v>0</v>
      </c>
      <c r="DL7">
        <f t="shared" si="41"/>
        <v>0</v>
      </c>
      <c r="DM7">
        <f t="shared" si="42"/>
        <v>0</v>
      </c>
      <c r="DN7">
        <f t="shared" si="43"/>
        <v>0</v>
      </c>
      <c r="DO7">
        <f t="shared" si="44"/>
        <v>0</v>
      </c>
      <c r="DP7">
        <f t="shared" si="45"/>
        <v>0</v>
      </c>
      <c r="DQ7">
        <f t="shared" si="46"/>
        <v>0</v>
      </c>
      <c r="DR7">
        <f t="shared" si="47"/>
        <v>0</v>
      </c>
      <c r="DS7">
        <f t="shared" si="48"/>
        <v>0</v>
      </c>
      <c r="DT7">
        <f t="shared" si="49"/>
        <v>0</v>
      </c>
      <c r="DU7">
        <f t="shared" si="50"/>
        <v>0</v>
      </c>
      <c r="DV7">
        <f t="shared" si="51"/>
        <v>0</v>
      </c>
      <c r="DW7">
        <f t="shared" si="52"/>
        <v>0</v>
      </c>
      <c r="DX7">
        <f t="shared" si="53"/>
        <v>0</v>
      </c>
      <c r="DY7">
        <f t="shared" si="54"/>
        <v>1</v>
      </c>
      <c r="DZ7">
        <f t="shared" si="55"/>
        <v>0</v>
      </c>
      <c r="EA7">
        <f t="shared" si="56"/>
        <v>0</v>
      </c>
      <c r="EB7">
        <f t="shared" si="57"/>
        <v>0</v>
      </c>
      <c r="EC7">
        <f t="shared" si="58"/>
        <v>0</v>
      </c>
      <c r="ED7">
        <f t="shared" si="59"/>
        <v>0</v>
      </c>
      <c r="EE7">
        <f t="shared" si="60"/>
        <v>0</v>
      </c>
      <c r="EF7">
        <f t="shared" si="61"/>
        <v>0</v>
      </c>
      <c r="EG7">
        <f t="shared" si="62"/>
        <v>0</v>
      </c>
      <c r="EH7">
        <f t="shared" si="63"/>
        <v>0</v>
      </c>
      <c r="EI7">
        <f t="shared" si="64"/>
        <v>0</v>
      </c>
      <c r="EJ7">
        <f t="shared" si="65"/>
        <v>2</v>
      </c>
    </row>
    <row r="8" spans="1:149">
      <c r="A8" t="s">
        <v>70</v>
      </c>
      <c r="B8" s="1">
        <v>135557</v>
      </c>
      <c r="C8" s="1">
        <v>135557</v>
      </c>
      <c r="D8">
        <v>16148.28</v>
      </c>
      <c r="E8" t="s">
        <v>71</v>
      </c>
      <c r="F8" t="s">
        <v>72</v>
      </c>
      <c r="G8" t="s">
        <v>91</v>
      </c>
      <c r="H8" t="s">
        <v>92</v>
      </c>
      <c r="I8" t="s">
        <v>83</v>
      </c>
      <c r="J8" t="s">
        <v>83</v>
      </c>
      <c r="K8" t="s">
        <v>83</v>
      </c>
      <c r="L8" t="s">
        <v>83</v>
      </c>
      <c r="M8" t="s">
        <v>76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76</v>
      </c>
      <c r="BM8" t="s">
        <v>83</v>
      </c>
      <c r="BN8" t="s">
        <v>83</v>
      </c>
      <c r="BO8" t="s">
        <v>83</v>
      </c>
      <c r="BP8" t="s">
        <v>83</v>
      </c>
      <c r="BQ8" t="s">
        <v>83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>
        <f t="shared" si="0"/>
        <v>0</v>
      </c>
      <c r="BX8">
        <f t="shared" si="1"/>
        <v>0</v>
      </c>
      <c r="BY8">
        <f t="shared" si="2"/>
        <v>0</v>
      </c>
      <c r="BZ8">
        <f t="shared" si="3"/>
        <v>1</v>
      </c>
      <c r="CA8">
        <f t="shared" si="4"/>
        <v>0</v>
      </c>
      <c r="CB8">
        <f t="shared" si="5"/>
        <v>0</v>
      </c>
      <c r="CC8">
        <f t="shared" si="6"/>
        <v>0</v>
      </c>
      <c r="CD8">
        <f t="shared" si="7"/>
        <v>0</v>
      </c>
      <c r="CE8">
        <f t="shared" si="8"/>
        <v>0</v>
      </c>
      <c r="CF8">
        <f t="shared" si="9"/>
        <v>0</v>
      </c>
      <c r="CG8">
        <f t="shared" si="10"/>
        <v>0</v>
      </c>
      <c r="CH8">
        <f t="shared" si="11"/>
        <v>0</v>
      </c>
      <c r="CI8">
        <f t="shared" si="12"/>
        <v>0</v>
      </c>
      <c r="CJ8">
        <f t="shared" si="13"/>
        <v>0</v>
      </c>
      <c r="CK8">
        <f t="shared" si="14"/>
        <v>0</v>
      </c>
      <c r="CL8">
        <f t="shared" si="15"/>
        <v>0</v>
      </c>
      <c r="CM8">
        <f t="shared" si="16"/>
        <v>0</v>
      </c>
      <c r="CN8">
        <f t="shared" si="17"/>
        <v>0</v>
      </c>
      <c r="CO8">
        <f t="shared" si="18"/>
        <v>0</v>
      </c>
      <c r="CP8">
        <f t="shared" si="19"/>
        <v>0</v>
      </c>
      <c r="CQ8">
        <f t="shared" si="20"/>
        <v>0</v>
      </c>
      <c r="CR8">
        <f t="shared" si="21"/>
        <v>0</v>
      </c>
      <c r="CS8">
        <f t="shared" si="22"/>
        <v>0</v>
      </c>
      <c r="CT8">
        <f t="shared" si="23"/>
        <v>0</v>
      </c>
      <c r="CU8">
        <f t="shared" si="24"/>
        <v>0</v>
      </c>
      <c r="CV8">
        <f t="shared" si="25"/>
        <v>0</v>
      </c>
      <c r="CW8">
        <f t="shared" si="26"/>
        <v>0</v>
      </c>
      <c r="CX8">
        <f t="shared" si="27"/>
        <v>0</v>
      </c>
      <c r="CY8">
        <f t="shared" si="28"/>
        <v>0</v>
      </c>
      <c r="CZ8">
        <f t="shared" si="29"/>
        <v>0</v>
      </c>
      <c r="DA8">
        <f t="shared" si="30"/>
        <v>0</v>
      </c>
      <c r="DB8">
        <f t="shared" si="31"/>
        <v>0</v>
      </c>
      <c r="DC8">
        <f t="shared" si="32"/>
        <v>0</v>
      </c>
      <c r="DD8">
        <f t="shared" si="33"/>
        <v>0</v>
      </c>
      <c r="DE8">
        <f t="shared" si="34"/>
        <v>0</v>
      </c>
      <c r="DF8">
        <f t="shared" si="35"/>
        <v>0</v>
      </c>
      <c r="DG8">
        <f t="shared" si="36"/>
        <v>0</v>
      </c>
      <c r="DH8">
        <f t="shared" si="37"/>
        <v>0</v>
      </c>
      <c r="DI8">
        <f t="shared" si="38"/>
        <v>0</v>
      </c>
      <c r="DJ8">
        <f t="shared" si="39"/>
        <v>0</v>
      </c>
      <c r="DK8">
        <f t="shared" si="40"/>
        <v>0</v>
      </c>
      <c r="DL8">
        <f t="shared" si="41"/>
        <v>0</v>
      </c>
      <c r="DM8">
        <f t="shared" si="42"/>
        <v>0</v>
      </c>
      <c r="DN8">
        <f t="shared" si="43"/>
        <v>0</v>
      </c>
      <c r="DO8">
        <f t="shared" si="44"/>
        <v>0</v>
      </c>
      <c r="DP8">
        <f t="shared" si="45"/>
        <v>0</v>
      </c>
      <c r="DQ8">
        <f t="shared" si="46"/>
        <v>0</v>
      </c>
      <c r="DR8">
        <f t="shared" si="47"/>
        <v>0</v>
      </c>
      <c r="DS8">
        <f t="shared" si="48"/>
        <v>0</v>
      </c>
      <c r="DT8">
        <f t="shared" si="49"/>
        <v>0</v>
      </c>
      <c r="DU8">
        <f t="shared" si="50"/>
        <v>0</v>
      </c>
      <c r="DV8">
        <f t="shared" si="51"/>
        <v>0</v>
      </c>
      <c r="DW8">
        <f t="shared" si="52"/>
        <v>0</v>
      </c>
      <c r="DX8">
        <f t="shared" si="53"/>
        <v>0</v>
      </c>
      <c r="DY8">
        <f t="shared" si="54"/>
        <v>1</v>
      </c>
      <c r="DZ8">
        <f t="shared" si="55"/>
        <v>0</v>
      </c>
      <c r="EA8">
        <f t="shared" si="56"/>
        <v>0</v>
      </c>
      <c r="EB8">
        <f t="shared" si="57"/>
        <v>0</v>
      </c>
      <c r="EC8">
        <f t="shared" si="58"/>
        <v>0</v>
      </c>
      <c r="ED8">
        <f t="shared" si="59"/>
        <v>0</v>
      </c>
      <c r="EE8">
        <f t="shared" si="60"/>
        <v>0</v>
      </c>
      <c r="EF8">
        <f t="shared" si="61"/>
        <v>0</v>
      </c>
      <c r="EG8">
        <f t="shared" si="62"/>
        <v>0</v>
      </c>
      <c r="EH8">
        <f t="shared" si="63"/>
        <v>0</v>
      </c>
      <c r="EI8">
        <f t="shared" si="64"/>
        <v>0</v>
      </c>
      <c r="EJ8">
        <f t="shared" si="65"/>
        <v>2</v>
      </c>
    </row>
    <row r="9" spans="1:149">
      <c r="A9" t="s">
        <v>70</v>
      </c>
      <c r="B9">
        <v>3112162</v>
      </c>
      <c r="C9">
        <v>3112162</v>
      </c>
      <c r="D9">
        <v>4186.1400000000003</v>
      </c>
      <c r="E9" t="s">
        <v>77</v>
      </c>
      <c r="F9" t="s">
        <v>78</v>
      </c>
      <c r="G9" t="s">
        <v>93</v>
      </c>
      <c r="H9" t="s">
        <v>94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95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>
        <f t="shared" si="0"/>
        <v>0</v>
      </c>
      <c r="BX9">
        <f t="shared" si="1"/>
        <v>0</v>
      </c>
      <c r="BY9">
        <f t="shared" si="2"/>
        <v>0</v>
      </c>
      <c r="BZ9">
        <f t="shared" si="3"/>
        <v>0</v>
      </c>
      <c r="CA9">
        <f t="shared" si="4"/>
        <v>0</v>
      </c>
      <c r="CB9">
        <f t="shared" si="5"/>
        <v>0</v>
      </c>
      <c r="CC9">
        <f t="shared" si="6"/>
        <v>0</v>
      </c>
      <c r="CD9">
        <f t="shared" si="7"/>
        <v>0</v>
      </c>
      <c r="CE9">
        <f t="shared" si="8"/>
        <v>0</v>
      </c>
      <c r="CF9">
        <f t="shared" si="9"/>
        <v>0</v>
      </c>
      <c r="CG9">
        <f t="shared" si="10"/>
        <v>0</v>
      </c>
      <c r="CH9">
        <f t="shared" si="11"/>
        <v>0</v>
      </c>
      <c r="CI9">
        <f t="shared" si="12"/>
        <v>0</v>
      </c>
      <c r="CJ9">
        <f t="shared" si="13"/>
        <v>0</v>
      </c>
      <c r="CK9">
        <f t="shared" si="14"/>
        <v>0</v>
      </c>
      <c r="CL9">
        <f t="shared" si="15"/>
        <v>0</v>
      </c>
      <c r="CM9">
        <f t="shared" si="16"/>
        <v>0</v>
      </c>
      <c r="CN9">
        <f t="shared" si="17"/>
        <v>0</v>
      </c>
      <c r="CO9">
        <f t="shared" si="18"/>
        <v>0</v>
      </c>
      <c r="CP9">
        <f t="shared" si="19"/>
        <v>0</v>
      </c>
      <c r="CQ9">
        <f t="shared" si="20"/>
        <v>0</v>
      </c>
      <c r="CR9">
        <f t="shared" si="21"/>
        <v>0</v>
      </c>
      <c r="CS9">
        <f t="shared" si="22"/>
        <v>0</v>
      </c>
      <c r="CT9">
        <f t="shared" si="23"/>
        <v>0</v>
      </c>
      <c r="CU9">
        <f t="shared" si="24"/>
        <v>0</v>
      </c>
      <c r="CV9">
        <f t="shared" si="25"/>
        <v>1</v>
      </c>
      <c r="CW9">
        <f t="shared" si="26"/>
        <v>0</v>
      </c>
      <c r="CX9">
        <f t="shared" si="27"/>
        <v>0</v>
      </c>
      <c r="CY9">
        <f t="shared" si="28"/>
        <v>0</v>
      </c>
      <c r="CZ9">
        <f t="shared" si="29"/>
        <v>0</v>
      </c>
      <c r="DA9">
        <f t="shared" si="30"/>
        <v>0</v>
      </c>
      <c r="DB9">
        <f t="shared" si="31"/>
        <v>0</v>
      </c>
      <c r="DC9">
        <f t="shared" si="32"/>
        <v>0</v>
      </c>
      <c r="DD9">
        <f t="shared" si="33"/>
        <v>0</v>
      </c>
      <c r="DE9">
        <f t="shared" si="34"/>
        <v>0</v>
      </c>
      <c r="DF9">
        <f t="shared" si="35"/>
        <v>0</v>
      </c>
      <c r="DG9">
        <f t="shared" si="36"/>
        <v>0</v>
      </c>
      <c r="DH9">
        <f t="shared" si="37"/>
        <v>0</v>
      </c>
      <c r="DI9">
        <f t="shared" si="38"/>
        <v>0</v>
      </c>
      <c r="DJ9">
        <f t="shared" si="39"/>
        <v>0</v>
      </c>
      <c r="DK9">
        <f t="shared" si="40"/>
        <v>0</v>
      </c>
      <c r="DL9">
        <f t="shared" si="41"/>
        <v>0</v>
      </c>
      <c r="DM9">
        <f t="shared" si="42"/>
        <v>0</v>
      </c>
      <c r="DN9">
        <f t="shared" si="43"/>
        <v>0</v>
      </c>
      <c r="DO9">
        <f t="shared" si="44"/>
        <v>0</v>
      </c>
      <c r="DP9">
        <f t="shared" si="45"/>
        <v>0</v>
      </c>
      <c r="DQ9">
        <f t="shared" si="46"/>
        <v>0</v>
      </c>
      <c r="DR9">
        <f t="shared" si="47"/>
        <v>0</v>
      </c>
      <c r="DS9">
        <f t="shared" si="48"/>
        <v>0</v>
      </c>
      <c r="DT9">
        <f t="shared" si="49"/>
        <v>0</v>
      </c>
      <c r="DU9">
        <f t="shared" si="50"/>
        <v>0</v>
      </c>
      <c r="DV9">
        <f t="shared" si="51"/>
        <v>0</v>
      </c>
      <c r="DW9">
        <f t="shared" si="52"/>
        <v>0</v>
      </c>
      <c r="DX9">
        <f t="shared" si="53"/>
        <v>0</v>
      </c>
      <c r="DY9">
        <f t="shared" si="54"/>
        <v>0</v>
      </c>
      <c r="DZ9">
        <f t="shared" si="55"/>
        <v>0</v>
      </c>
      <c r="EA9">
        <f t="shared" si="56"/>
        <v>0</v>
      </c>
      <c r="EB9">
        <f t="shared" si="57"/>
        <v>0</v>
      </c>
      <c r="EC9">
        <f t="shared" si="58"/>
        <v>0</v>
      </c>
      <c r="ED9">
        <f t="shared" si="59"/>
        <v>0</v>
      </c>
      <c r="EE9">
        <f t="shared" si="60"/>
        <v>0</v>
      </c>
      <c r="EF9">
        <f t="shared" si="61"/>
        <v>0</v>
      </c>
      <c r="EG9">
        <f t="shared" si="62"/>
        <v>0</v>
      </c>
      <c r="EH9">
        <f t="shared" si="63"/>
        <v>0</v>
      </c>
      <c r="EI9">
        <f t="shared" si="64"/>
        <v>0</v>
      </c>
      <c r="EJ9">
        <f t="shared" si="65"/>
        <v>1</v>
      </c>
    </row>
    <row r="10" spans="1:149">
      <c r="A10" t="s">
        <v>70</v>
      </c>
      <c r="B10">
        <v>235347</v>
      </c>
      <c r="C10">
        <v>235347</v>
      </c>
      <c r="D10">
        <v>5956.08</v>
      </c>
      <c r="E10" t="s">
        <v>77</v>
      </c>
      <c r="F10" t="s">
        <v>78</v>
      </c>
      <c r="G10" t="s">
        <v>96</v>
      </c>
      <c r="H10" t="s">
        <v>97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76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  <c r="BU10" t="s">
        <v>75</v>
      </c>
      <c r="BV10" t="s">
        <v>75</v>
      </c>
      <c r="BW10">
        <f t="shared" si="0"/>
        <v>0</v>
      </c>
      <c r="BX10">
        <f t="shared" si="1"/>
        <v>0</v>
      </c>
      <c r="BY10">
        <f t="shared" si="2"/>
        <v>0</v>
      </c>
      <c r="BZ10">
        <f t="shared" si="3"/>
        <v>0</v>
      </c>
      <c r="CA10">
        <f t="shared" si="4"/>
        <v>0</v>
      </c>
      <c r="CB10">
        <f t="shared" si="5"/>
        <v>0</v>
      </c>
      <c r="CC10">
        <f t="shared" si="6"/>
        <v>0</v>
      </c>
      <c r="CD10">
        <f t="shared" si="7"/>
        <v>0</v>
      </c>
      <c r="CE10">
        <f t="shared" si="8"/>
        <v>0</v>
      </c>
      <c r="CF10">
        <f t="shared" si="9"/>
        <v>0</v>
      </c>
      <c r="CG10">
        <f t="shared" si="10"/>
        <v>0</v>
      </c>
      <c r="CH10">
        <f t="shared" si="11"/>
        <v>0</v>
      </c>
      <c r="CI10">
        <f t="shared" si="12"/>
        <v>0</v>
      </c>
      <c r="CJ10">
        <f t="shared" si="13"/>
        <v>0</v>
      </c>
      <c r="CK10">
        <f t="shared" si="14"/>
        <v>0</v>
      </c>
      <c r="CL10">
        <f t="shared" si="15"/>
        <v>0</v>
      </c>
      <c r="CM10">
        <f t="shared" si="16"/>
        <v>0</v>
      </c>
      <c r="CN10">
        <f t="shared" si="17"/>
        <v>0</v>
      </c>
      <c r="CO10">
        <f t="shared" si="18"/>
        <v>1</v>
      </c>
      <c r="CP10">
        <f t="shared" si="19"/>
        <v>0</v>
      </c>
      <c r="CQ10">
        <f t="shared" si="20"/>
        <v>0</v>
      </c>
      <c r="CR10">
        <f t="shared" si="21"/>
        <v>0</v>
      </c>
      <c r="CS10">
        <f t="shared" si="22"/>
        <v>0</v>
      </c>
      <c r="CT10">
        <f t="shared" si="23"/>
        <v>0</v>
      </c>
      <c r="CU10">
        <f t="shared" si="24"/>
        <v>0</v>
      </c>
      <c r="CV10">
        <f t="shared" si="25"/>
        <v>0</v>
      </c>
      <c r="CW10">
        <f t="shared" si="26"/>
        <v>0</v>
      </c>
      <c r="CX10">
        <f t="shared" si="27"/>
        <v>0</v>
      </c>
      <c r="CY10">
        <f t="shared" si="28"/>
        <v>0</v>
      </c>
      <c r="CZ10">
        <f t="shared" si="29"/>
        <v>0</v>
      </c>
      <c r="DA10">
        <f t="shared" si="30"/>
        <v>0</v>
      </c>
      <c r="DB10">
        <f t="shared" si="31"/>
        <v>0</v>
      </c>
      <c r="DC10">
        <f t="shared" si="32"/>
        <v>0</v>
      </c>
      <c r="DD10">
        <f t="shared" si="33"/>
        <v>0</v>
      </c>
      <c r="DE10">
        <f t="shared" si="34"/>
        <v>0</v>
      </c>
      <c r="DF10">
        <f t="shared" si="35"/>
        <v>0</v>
      </c>
      <c r="DG10">
        <f t="shared" si="36"/>
        <v>0</v>
      </c>
      <c r="DH10">
        <f t="shared" si="37"/>
        <v>0</v>
      </c>
      <c r="DI10">
        <f t="shared" si="38"/>
        <v>0</v>
      </c>
      <c r="DJ10">
        <f t="shared" si="39"/>
        <v>0</v>
      </c>
      <c r="DK10">
        <f t="shared" si="40"/>
        <v>0</v>
      </c>
      <c r="DL10">
        <f t="shared" si="41"/>
        <v>0</v>
      </c>
      <c r="DM10">
        <f t="shared" si="42"/>
        <v>0</v>
      </c>
      <c r="DN10">
        <f t="shared" si="43"/>
        <v>0</v>
      </c>
      <c r="DO10">
        <f t="shared" si="44"/>
        <v>0</v>
      </c>
      <c r="DP10">
        <f t="shared" si="45"/>
        <v>0</v>
      </c>
      <c r="DQ10">
        <f t="shared" si="46"/>
        <v>0</v>
      </c>
      <c r="DR10">
        <f t="shared" si="47"/>
        <v>0</v>
      </c>
      <c r="DS10">
        <f t="shared" si="48"/>
        <v>0</v>
      </c>
      <c r="DT10">
        <f t="shared" si="49"/>
        <v>0</v>
      </c>
      <c r="DU10">
        <f t="shared" si="50"/>
        <v>0</v>
      </c>
      <c r="DV10">
        <f t="shared" si="51"/>
        <v>0</v>
      </c>
      <c r="DW10">
        <f t="shared" si="52"/>
        <v>0</v>
      </c>
      <c r="DX10">
        <f t="shared" si="53"/>
        <v>0</v>
      </c>
      <c r="DY10">
        <f t="shared" si="54"/>
        <v>0</v>
      </c>
      <c r="DZ10">
        <f t="shared" si="55"/>
        <v>0</v>
      </c>
      <c r="EA10">
        <f t="shared" si="56"/>
        <v>0</v>
      </c>
      <c r="EB10">
        <f t="shared" si="57"/>
        <v>0</v>
      </c>
      <c r="EC10">
        <f t="shared" si="58"/>
        <v>0</v>
      </c>
      <c r="ED10">
        <f t="shared" si="59"/>
        <v>0</v>
      </c>
      <c r="EE10">
        <f t="shared" si="60"/>
        <v>0</v>
      </c>
      <c r="EF10">
        <f t="shared" si="61"/>
        <v>0</v>
      </c>
      <c r="EG10">
        <f t="shared" si="62"/>
        <v>0</v>
      </c>
      <c r="EH10">
        <f t="shared" si="63"/>
        <v>0</v>
      </c>
      <c r="EI10">
        <f t="shared" si="64"/>
        <v>0</v>
      </c>
      <c r="EJ10">
        <f t="shared" si="65"/>
        <v>1</v>
      </c>
    </row>
    <row r="11" spans="1:149">
      <c r="A11" t="s">
        <v>70</v>
      </c>
      <c r="B11">
        <v>3635580</v>
      </c>
      <c r="C11">
        <v>3635580</v>
      </c>
      <c r="D11">
        <v>5822.13</v>
      </c>
      <c r="E11" t="s">
        <v>71</v>
      </c>
      <c r="F11" t="s">
        <v>72</v>
      </c>
      <c r="G11" t="s">
        <v>98</v>
      </c>
      <c r="H11" t="s">
        <v>99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83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>
        <f t="shared" si="0"/>
        <v>0</v>
      </c>
      <c r="BX11">
        <f t="shared" si="1"/>
        <v>0</v>
      </c>
      <c r="BY11">
        <f t="shared" si="2"/>
        <v>0</v>
      </c>
      <c r="BZ11">
        <f t="shared" si="3"/>
        <v>0</v>
      </c>
      <c r="CA11">
        <f t="shared" si="4"/>
        <v>0</v>
      </c>
      <c r="CB11">
        <f t="shared" si="5"/>
        <v>0</v>
      </c>
      <c r="CC11">
        <f t="shared" si="6"/>
        <v>0</v>
      </c>
      <c r="CD11">
        <f t="shared" si="7"/>
        <v>0</v>
      </c>
      <c r="CE11">
        <f t="shared" si="8"/>
        <v>0</v>
      </c>
      <c r="CF11">
        <f t="shared" si="9"/>
        <v>0</v>
      </c>
      <c r="CG11">
        <f t="shared" si="10"/>
        <v>0</v>
      </c>
      <c r="CH11">
        <f t="shared" si="11"/>
        <v>0</v>
      </c>
      <c r="CI11">
        <f t="shared" si="12"/>
        <v>0</v>
      </c>
      <c r="CJ11">
        <f t="shared" si="13"/>
        <v>0</v>
      </c>
      <c r="CK11">
        <f t="shared" si="14"/>
        <v>0</v>
      </c>
      <c r="CL11">
        <f t="shared" si="15"/>
        <v>0</v>
      </c>
      <c r="CM11">
        <f t="shared" si="16"/>
        <v>0</v>
      </c>
      <c r="CN11">
        <f t="shared" si="17"/>
        <v>0</v>
      </c>
      <c r="CO11">
        <f t="shared" si="18"/>
        <v>1</v>
      </c>
      <c r="CP11">
        <f t="shared" si="19"/>
        <v>0</v>
      </c>
      <c r="CQ11">
        <f t="shared" si="20"/>
        <v>0</v>
      </c>
      <c r="CR11">
        <f t="shared" si="21"/>
        <v>0</v>
      </c>
      <c r="CS11">
        <f t="shared" si="22"/>
        <v>0</v>
      </c>
      <c r="CT11">
        <f t="shared" si="23"/>
        <v>0</v>
      </c>
      <c r="CU11">
        <f t="shared" si="24"/>
        <v>0</v>
      </c>
      <c r="CV11">
        <f t="shared" si="25"/>
        <v>0</v>
      </c>
      <c r="CW11">
        <f t="shared" si="26"/>
        <v>0</v>
      </c>
      <c r="CX11">
        <f t="shared" si="27"/>
        <v>0</v>
      </c>
      <c r="CY11">
        <f t="shared" si="28"/>
        <v>0</v>
      </c>
      <c r="CZ11">
        <f t="shared" si="29"/>
        <v>0</v>
      </c>
      <c r="DA11">
        <f t="shared" si="30"/>
        <v>0</v>
      </c>
      <c r="DB11">
        <f t="shared" si="31"/>
        <v>0</v>
      </c>
      <c r="DC11">
        <f t="shared" si="32"/>
        <v>0</v>
      </c>
      <c r="DD11">
        <f t="shared" si="33"/>
        <v>0</v>
      </c>
      <c r="DE11">
        <f t="shared" si="34"/>
        <v>0</v>
      </c>
      <c r="DF11">
        <f t="shared" si="35"/>
        <v>0</v>
      </c>
      <c r="DG11">
        <f t="shared" si="36"/>
        <v>0</v>
      </c>
      <c r="DH11">
        <f t="shared" si="37"/>
        <v>0</v>
      </c>
      <c r="DI11">
        <f t="shared" si="38"/>
        <v>0</v>
      </c>
      <c r="DJ11">
        <f t="shared" si="39"/>
        <v>0</v>
      </c>
      <c r="DK11">
        <f t="shared" si="40"/>
        <v>0</v>
      </c>
      <c r="DL11">
        <f t="shared" si="41"/>
        <v>0</v>
      </c>
      <c r="DM11">
        <f t="shared" si="42"/>
        <v>0</v>
      </c>
      <c r="DN11">
        <f t="shared" si="43"/>
        <v>0</v>
      </c>
      <c r="DO11">
        <f t="shared" si="44"/>
        <v>0</v>
      </c>
      <c r="DP11">
        <f t="shared" si="45"/>
        <v>0</v>
      </c>
      <c r="DQ11">
        <f t="shared" si="46"/>
        <v>0</v>
      </c>
      <c r="DR11">
        <f t="shared" si="47"/>
        <v>0</v>
      </c>
      <c r="DS11">
        <f t="shared" si="48"/>
        <v>0</v>
      </c>
      <c r="DT11">
        <f t="shared" si="49"/>
        <v>0</v>
      </c>
      <c r="DU11">
        <f t="shared" si="50"/>
        <v>0</v>
      </c>
      <c r="DV11">
        <f t="shared" si="51"/>
        <v>0</v>
      </c>
      <c r="DW11">
        <f t="shared" si="52"/>
        <v>0</v>
      </c>
      <c r="DX11">
        <f t="shared" si="53"/>
        <v>0</v>
      </c>
      <c r="DY11">
        <f t="shared" si="54"/>
        <v>0</v>
      </c>
      <c r="DZ11">
        <f t="shared" si="55"/>
        <v>0</v>
      </c>
      <c r="EA11">
        <f t="shared" si="56"/>
        <v>0</v>
      </c>
      <c r="EB11">
        <f t="shared" si="57"/>
        <v>0</v>
      </c>
      <c r="EC11">
        <f t="shared" si="58"/>
        <v>0</v>
      </c>
      <c r="ED11">
        <f t="shared" si="59"/>
        <v>0</v>
      </c>
      <c r="EE11">
        <f t="shared" si="60"/>
        <v>0</v>
      </c>
      <c r="EF11">
        <f t="shared" si="61"/>
        <v>0</v>
      </c>
      <c r="EG11">
        <f t="shared" si="62"/>
        <v>0</v>
      </c>
      <c r="EH11">
        <f t="shared" si="63"/>
        <v>0</v>
      </c>
      <c r="EI11">
        <f t="shared" si="64"/>
        <v>0</v>
      </c>
      <c r="EJ11">
        <f t="shared" si="65"/>
        <v>1</v>
      </c>
    </row>
    <row r="12" spans="1:149">
      <c r="A12" t="s">
        <v>70</v>
      </c>
      <c r="B12">
        <v>3886823</v>
      </c>
      <c r="C12">
        <v>3886823</v>
      </c>
      <c r="D12">
        <v>44.13</v>
      </c>
      <c r="E12" t="s">
        <v>100</v>
      </c>
      <c r="F12" t="s">
        <v>101</v>
      </c>
      <c r="G12" t="s">
        <v>102</v>
      </c>
      <c r="H12" t="s">
        <v>103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76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>
        <f t="shared" si="0"/>
        <v>0</v>
      </c>
      <c r="BX12">
        <f t="shared" si="1"/>
        <v>0</v>
      </c>
      <c r="BY12">
        <f t="shared" si="2"/>
        <v>0</v>
      </c>
      <c r="BZ12">
        <f t="shared" si="3"/>
        <v>0</v>
      </c>
      <c r="CA12">
        <f t="shared" si="4"/>
        <v>0</v>
      </c>
      <c r="CB12">
        <f t="shared" si="5"/>
        <v>0</v>
      </c>
      <c r="CC12">
        <f t="shared" si="6"/>
        <v>0</v>
      </c>
      <c r="CD12">
        <f t="shared" si="7"/>
        <v>0</v>
      </c>
      <c r="CE12">
        <f t="shared" si="8"/>
        <v>0</v>
      </c>
      <c r="CF12">
        <f t="shared" si="9"/>
        <v>0</v>
      </c>
      <c r="CG12">
        <f t="shared" si="10"/>
        <v>0</v>
      </c>
      <c r="CH12">
        <f t="shared" si="11"/>
        <v>0</v>
      </c>
      <c r="CI12">
        <f t="shared" si="12"/>
        <v>0</v>
      </c>
      <c r="CJ12">
        <f t="shared" si="13"/>
        <v>0</v>
      </c>
      <c r="CK12">
        <f t="shared" si="14"/>
        <v>0</v>
      </c>
      <c r="CL12">
        <f t="shared" si="15"/>
        <v>0</v>
      </c>
      <c r="CM12">
        <f t="shared" si="16"/>
        <v>0</v>
      </c>
      <c r="CN12">
        <f t="shared" si="17"/>
        <v>0</v>
      </c>
      <c r="CO12">
        <f t="shared" si="18"/>
        <v>0</v>
      </c>
      <c r="CP12">
        <f t="shared" si="19"/>
        <v>0</v>
      </c>
      <c r="CQ12">
        <f t="shared" si="20"/>
        <v>0</v>
      </c>
      <c r="CR12">
        <f t="shared" si="21"/>
        <v>0</v>
      </c>
      <c r="CS12">
        <f t="shared" si="22"/>
        <v>0</v>
      </c>
      <c r="CT12">
        <f t="shared" si="23"/>
        <v>0</v>
      </c>
      <c r="CU12">
        <f t="shared" si="24"/>
        <v>0</v>
      </c>
      <c r="CV12">
        <f t="shared" si="25"/>
        <v>0</v>
      </c>
      <c r="CW12">
        <f t="shared" si="26"/>
        <v>0</v>
      </c>
      <c r="CX12">
        <f t="shared" si="27"/>
        <v>0</v>
      </c>
      <c r="CY12">
        <f t="shared" si="28"/>
        <v>0</v>
      </c>
      <c r="CZ12">
        <f t="shared" si="29"/>
        <v>0</v>
      </c>
      <c r="DA12">
        <f t="shared" si="30"/>
        <v>0</v>
      </c>
      <c r="DB12">
        <f t="shared" si="31"/>
        <v>0</v>
      </c>
      <c r="DC12">
        <f t="shared" si="32"/>
        <v>0</v>
      </c>
      <c r="DD12">
        <f t="shared" si="33"/>
        <v>0</v>
      </c>
      <c r="DE12">
        <f t="shared" si="34"/>
        <v>0</v>
      </c>
      <c r="DF12">
        <f t="shared" si="35"/>
        <v>0</v>
      </c>
      <c r="DG12">
        <f t="shared" si="36"/>
        <v>0</v>
      </c>
      <c r="DH12">
        <f t="shared" si="37"/>
        <v>0</v>
      </c>
      <c r="DI12">
        <f t="shared" si="38"/>
        <v>0</v>
      </c>
      <c r="DJ12">
        <f t="shared" si="39"/>
        <v>0</v>
      </c>
      <c r="DK12">
        <f t="shared" si="40"/>
        <v>0</v>
      </c>
      <c r="DL12">
        <f t="shared" si="41"/>
        <v>0</v>
      </c>
      <c r="DM12">
        <f t="shared" si="42"/>
        <v>0</v>
      </c>
      <c r="DN12">
        <f t="shared" si="43"/>
        <v>0</v>
      </c>
      <c r="DO12">
        <f t="shared" si="44"/>
        <v>0</v>
      </c>
      <c r="DP12">
        <f t="shared" si="45"/>
        <v>0</v>
      </c>
      <c r="DQ12">
        <f t="shared" si="46"/>
        <v>0</v>
      </c>
      <c r="DR12">
        <f t="shared" si="47"/>
        <v>0</v>
      </c>
      <c r="DS12">
        <f t="shared" si="48"/>
        <v>0</v>
      </c>
      <c r="DT12">
        <f t="shared" si="49"/>
        <v>0</v>
      </c>
      <c r="DU12">
        <f t="shared" si="50"/>
        <v>0</v>
      </c>
      <c r="DV12">
        <f t="shared" si="51"/>
        <v>0</v>
      </c>
      <c r="DW12">
        <f t="shared" si="52"/>
        <v>0</v>
      </c>
      <c r="DX12">
        <f t="shared" si="53"/>
        <v>0</v>
      </c>
      <c r="DY12">
        <f t="shared" si="54"/>
        <v>0</v>
      </c>
      <c r="DZ12">
        <f t="shared" si="55"/>
        <v>0</v>
      </c>
      <c r="EA12">
        <f t="shared" si="56"/>
        <v>0</v>
      </c>
      <c r="EB12">
        <f t="shared" si="57"/>
        <v>1</v>
      </c>
      <c r="EC12">
        <f t="shared" si="58"/>
        <v>0</v>
      </c>
      <c r="ED12">
        <f t="shared" si="59"/>
        <v>0</v>
      </c>
      <c r="EE12">
        <f t="shared" si="60"/>
        <v>0</v>
      </c>
      <c r="EF12">
        <f t="shared" si="61"/>
        <v>0</v>
      </c>
      <c r="EG12">
        <f t="shared" si="62"/>
        <v>0</v>
      </c>
      <c r="EH12">
        <f t="shared" si="63"/>
        <v>0</v>
      </c>
      <c r="EI12">
        <f t="shared" si="64"/>
        <v>0</v>
      </c>
      <c r="EJ12">
        <f t="shared" si="65"/>
        <v>1</v>
      </c>
    </row>
    <row r="13" spans="1:149">
      <c r="A13" t="s">
        <v>70</v>
      </c>
      <c r="B13">
        <v>3056416</v>
      </c>
      <c r="C13">
        <v>3056416</v>
      </c>
      <c r="D13">
        <v>7986.49</v>
      </c>
      <c r="E13" t="s">
        <v>77</v>
      </c>
      <c r="F13" t="s">
        <v>78</v>
      </c>
      <c r="G13" t="s">
        <v>104</v>
      </c>
      <c r="H13" t="s">
        <v>105</v>
      </c>
      <c r="I13" t="s">
        <v>75</v>
      </c>
      <c r="J13" t="s">
        <v>76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  <c r="BU13" t="s">
        <v>75</v>
      </c>
      <c r="BV13" t="s">
        <v>75</v>
      </c>
      <c r="BW13">
        <f t="shared" si="0"/>
        <v>1</v>
      </c>
      <c r="BX13">
        <f t="shared" si="1"/>
        <v>0</v>
      </c>
      <c r="BY13">
        <f t="shared" si="2"/>
        <v>0</v>
      </c>
      <c r="BZ13">
        <f t="shared" si="3"/>
        <v>0</v>
      </c>
      <c r="CA13">
        <f t="shared" si="4"/>
        <v>0</v>
      </c>
      <c r="CB13">
        <f t="shared" si="5"/>
        <v>0</v>
      </c>
      <c r="CC13">
        <f t="shared" si="6"/>
        <v>0</v>
      </c>
      <c r="CD13">
        <f t="shared" si="7"/>
        <v>0</v>
      </c>
      <c r="CE13">
        <f t="shared" si="8"/>
        <v>0</v>
      </c>
      <c r="CF13">
        <f t="shared" si="9"/>
        <v>0</v>
      </c>
      <c r="CG13">
        <f t="shared" si="10"/>
        <v>0</v>
      </c>
      <c r="CH13">
        <f t="shared" si="11"/>
        <v>0</v>
      </c>
      <c r="CI13">
        <f t="shared" si="12"/>
        <v>0</v>
      </c>
      <c r="CJ13">
        <f t="shared" si="13"/>
        <v>0</v>
      </c>
      <c r="CK13">
        <f t="shared" si="14"/>
        <v>0</v>
      </c>
      <c r="CL13">
        <f t="shared" si="15"/>
        <v>0</v>
      </c>
      <c r="CM13">
        <f t="shared" si="16"/>
        <v>0</v>
      </c>
      <c r="CN13">
        <f t="shared" si="17"/>
        <v>0</v>
      </c>
      <c r="CO13">
        <f t="shared" si="18"/>
        <v>0</v>
      </c>
      <c r="CP13">
        <f t="shared" si="19"/>
        <v>0</v>
      </c>
      <c r="CQ13">
        <f t="shared" si="20"/>
        <v>0</v>
      </c>
      <c r="CR13">
        <f t="shared" si="21"/>
        <v>0</v>
      </c>
      <c r="CS13">
        <f t="shared" si="22"/>
        <v>0</v>
      </c>
      <c r="CT13">
        <f t="shared" si="23"/>
        <v>0</v>
      </c>
      <c r="CU13">
        <f t="shared" si="24"/>
        <v>0</v>
      </c>
      <c r="CV13">
        <f t="shared" si="25"/>
        <v>0</v>
      </c>
      <c r="CW13">
        <f t="shared" si="26"/>
        <v>0</v>
      </c>
      <c r="CX13">
        <f t="shared" si="27"/>
        <v>0</v>
      </c>
      <c r="CY13">
        <f t="shared" si="28"/>
        <v>0</v>
      </c>
      <c r="CZ13">
        <f t="shared" si="29"/>
        <v>0</v>
      </c>
      <c r="DA13">
        <f t="shared" si="30"/>
        <v>0</v>
      </c>
      <c r="DB13">
        <f t="shared" si="31"/>
        <v>0</v>
      </c>
      <c r="DC13">
        <f t="shared" si="32"/>
        <v>0</v>
      </c>
      <c r="DD13">
        <f t="shared" si="33"/>
        <v>0</v>
      </c>
      <c r="DE13">
        <f t="shared" si="34"/>
        <v>0</v>
      </c>
      <c r="DF13">
        <f t="shared" si="35"/>
        <v>0</v>
      </c>
      <c r="DG13">
        <f t="shared" si="36"/>
        <v>0</v>
      </c>
      <c r="DH13">
        <f t="shared" si="37"/>
        <v>0</v>
      </c>
      <c r="DI13">
        <f t="shared" si="38"/>
        <v>0</v>
      </c>
      <c r="DJ13">
        <f t="shared" si="39"/>
        <v>0</v>
      </c>
      <c r="DK13">
        <f t="shared" si="40"/>
        <v>0</v>
      </c>
      <c r="DL13">
        <f t="shared" si="41"/>
        <v>0</v>
      </c>
      <c r="DM13">
        <f t="shared" si="42"/>
        <v>0</v>
      </c>
      <c r="DN13">
        <f t="shared" si="43"/>
        <v>0</v>
      </c>
      <c r="DO13">
        <f t="shared" si="44"/>
        <v>0</v>
      </c>
      <c r="DP13">
        <f t="shared" si="45"/>
        <v>0</v>
      </c>
      <c r="DQ13">
        <f t="shared" si="46"/>
        <v>0</v>
      </c>
      <c r="DR13">
        <f t="shared" si="47"/>
        <v>0</v>
      </c>
      <c r="DS13">
        <f t="shared" si="48"/>
        <v>0</v>
      </c>
      <c r="DT13">
        <f t="shared" si="49"/>
        <v>0</v>
      </c>
      <c r="DU13">
        <f t="shared" si="50"/>
        <v>0</v>
      </c>
      <c r="DV13">
        <f t="shared" si="51"/>
        <v>0</v>
      </c>
      <c r="DW13">
        <f t="shared" si="52"/>
        <v>0</v>
      </c>
      <c r="DX13">
        <f t="shared" si="53"/>
        <v>0</v>
      </c>
      <c r="DY13">
        <f t="shared" si="54"/>
        <v>0</v>
      </c>
      <c r="DZ13">
        <f t="shared" si="55"/>
        <v>0</v>
      </c>
      <c r="EA13">
        <f t="shared" si="56"/>
        <v>0</v>
      </c>
      <c r="EB13">
        <f t="shared" si="57"/>
        <v>0</v>
      </c>
      <c r="EC13">
        <f t="shared" si="58"/>
        <v>0</v>
      </c>
      <c r="ED13">
        <f t="shared" si="59"/>
        <v>0</v>
      </c>
      <c r="EE13">
        <f t="shared" si="60"/>
        <v>0</v>
      </c>
      <c r="EF13">
        <f t="shared" si="61"/>
        <v>0</v>
      </c>
      <c r="EG13">
        <f t="shared" si="62"/>
        <v>0</v>
      </c>
      <c r="EH13">
        <f t="shared" si="63"/>
        <v>0</v>
      </c>
      <c r="EI13">
        <f t="shared" si="64"/>
        <v>0</v>
      </c>
      <c r="EJ13">
        <f t="shared" si="65"/>
        <v>1</v>
      </c>
    </row>
    <row r="14" spans="1:149">
      <c r="A14" t="s">
        <v>70</v>
      </c>
      <c r="B14">
        <v>3490569</v>
      </c>
      <c r="C14">
        <v>3490569</v>
      </c>
      <c r="D14">
        <v>8500.1299999999992</v>
      </c>
      <c r="E14" t="s">
        <v>71</v>
      </c>
      <c r="F14" t="s">
        <v>72</v>
      </c>
      <c r="G14" t="s">
        <v>106</v>
      </c>
      <c r="H14" t="s">
        <v>107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83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>
        <f t="shared" si="0"/>
        <v>0</v>
      </c>
      <c r="BX14">
        <f t="shared" si="1"/>
        <v>0</v>
      </c>
      <c r="BY14">
        <f t="shared" si="2"/>
        <v>0</v>
      </c>
      <c r="BZ14">
        <f t="shared" si="3"/>
        <v>0</v>
      </c>
      <c r="CA14">
        <f t="shared" si="4"/>
        <v>0</v>
      </c>
      <c r="CB14">
        <f t="shared" si="5"/>
        <v>0</v>
      </c>
      <c r="CC14">
        <f t="shared" si="6"/>
        <v>0</v>
      </c>
      <c r="CD14">
        <f t="shared" si="7"/>
        <v>0</v>
      </c>
      <c r="CE14">
        <f t="shared" si="8"/>
        <v>0</v>
      </c>
      <c r="CF14">
        <f t="shared" si="9"/>
        <v>0</v>
      </c>
      <c r="CG14">
        <f t="shared" si="10"/>
        <v>0</v>
      </c>
      <c r="CH14">
        <f t="shared" si="11"/>
        <v>0</v>
      </c>
      <c r="CI14">
        <f t="shared" si="12"/>
        <v>0</v>
      </c>
      <c r="CJ14">
        <f t="shared" si="13"/>
        <v>0</v>
      </c>
      <c r="CK14">
        <f t="shared" si="14"/>
        <v>0</v>
      </c>
      <c r="CL14">
        <f t="shared" si="15"/>
        <v>0</v>
      </c>
      <c r="CM14">
        <f t="shared" si="16"/>
        <v>0</v>
      </c>
      <c r="CN14">
        <f t="shared" si="17"/>
        <v>0</v>
      </c>
      <c r="CO14">
        <f t="shared" si="18"/>
        <v>0</v>
      </c>
      <c r="CP14">
        <f t="shared" si="19"/>
        <v>0</v>
      </c>
      <c r="CQ14">
        <f t="shared" si="20"/>
        <v>0</v>
      </c>
      <c r="CR14">
        <f t="shared" si="21"/>
        <v>0</v>
      </c>
      <c r="CS14">
        <f t="shared" si="22"/>
        <v>0</v>
      </c>
      <c r="CT14">
        <f t="shared" si="23"/>
        <v>0</v>
      </c>
      <c r="CU14">
        <f t="shared" si="24"/>
        <v>0</v>
      </c>
      <c r="CV14">
        <f t="shared" si="25"/>
        <v>0</v>
      </c>
      <c r="CW14">
        <f t="shared" si="26"/>
        <v>0</v>
      </c>
      <c r="CX14">
        <f t="shared" si="27"/>
        <v>0</v>
      </c>
      <c r="CY14">
        <f t="shared" si="28"/>
        <v>0</v>
      </c>
      <c r="CZ14">
        <f t="shared" si="29"/>
        <v>0</v>
      </c>
      <c r="DA14">
        <f t="shared" si="30"/>
        <v>0</v>
      </c>
      <c r="DB14">
        <f t="shared" si="31"/>
        <v>1</v>
      </c>
      <c r="DC14">
        <f t="shared" si="32"/>
        <v>0</v>
      </c>
      <c r="DD14">
        <f t="shared" si="33"/>
        <v>0</v>
      </c>
      <c r="DE14">
        <f t="shared" si="34"/>
        <v>0</v>
      </c>
      <c r="DF14">
        <f t="shared" si="35"/>
        <v>0</v>
      </c>
      <c r="DG14">
        <f t="shared" si="36"/>
        <v>0</v>
      </c>
      <c r="DH14">
        <f t="shared" si="37"/>
        <v>0</v>
      </c>
      <c r="DI14">
        <f t="shared" si="38"/>
        <v>0</v>
      </c>
      <c r="DJ14">
        <f t="shared" si="39"/>
        <v>0</v>
      </c>
      <c r="DK14">
        <f t="shared" si="40"/>
        <v>0</v>
      </c>
      <c r="DL14">
        <f t="shared" si="41"/>
        <v>0</v>
      </c>
      <c r="DM14">
        <f t="shared" si="42"/>
        <v>0</v>
      </c>
      <c r="DN14">
        <f t="shared" si="43"/>
        <v>0</v>
      </c>
      <c r="DO14">
        <f t="shared" si="44"/>
        <v>0</v>
      </c>
      <c r="DP14">
        <f t="shared" si="45"/>
        <v>0</v>
      </c>
      <c r="DQ14">
        <f t="shared" si="46"/>
        <v>0</v>
      </c>
      <c r="DR14">
        <f t="shared" si="47"/>
        <v>0</v>
      </c>
      <c r="DS14">
        <f t="shared" si="48"/>
        <v>0</v>
      </c>
      <c r="DT14">
        <f t="shared" si="49"/>
        <v>0</v>
      </c>
      <c r="DU14">
        <f t="shared" si="50"/>
        <v>0</v>
      </c>
      <c r="DV14">
        <f t="shared" si="51"/>
        <v>0</v>
      </c>
      <c r="DW14">
        <f t="shared" si="52"/>
        <v>0</v>
      </c>
      <c r="DX14">
        <f t="shared" si="53"/>
        <v>0</v>
      </c>
      <c r="DY14">
        <f t="shared" si="54"/>
        <v>0</v>
      </c>
      <c r="DZ14">
        <f t="shared" si="55"/>
        <v>0</v>
      </c>
      <c r="EA14">
        <f t="shared" si="56"/>
        <v>0</v>
      </c>
      <c r="EB14">
        <f t="shared" si="57"/>
        <v>0</v>
      </c>
      <c r="EC14">
        <f t="shared" si="58"/>
        <v>0</v>
      </c>
      <c r="ED14">
        <f t="shared" si="59"/>
        <v>0</v>
      </c>
      <c r="EE14">
        <f t="shared" si="60"/>
        <v>0</v>
      </c>
      <c r="EF14">
        <f t="shared" si="61"/>
        <v>0</v>
      </c>
      <c r="EG14">
        <f t="shared" si="62"/>
        <v>0</v>
      </c>
      <c r="EH14">
        <f t="shared" si="63"/>
        <v>0</v>
      </c>
      <c r="EI14">
        <f t="shared" si="64"/>
        <v>0</v>
      </c>
      <c r="EJ14">
        <f t="shared" si="65"/>
        <v>1</v>
      </c>
    </row>
    <row r="15" spans="1:149">
      <c r="A15" t="s">
        <v>70</v>
      </c>
      <c r="B15">
        <v>3405665</v>
      </c>
      <c r="C15">
        <v>3405665</v>
      </c>
      <c r="D15">
        <v>4528.2700000000004</v>
      </c>
      <c r="E15" t="s">
        <v>108</v>
      </c>
      <c r="F15" t="s">
        <v>101</v>
      </c>
      <c r="G15" t="s">
        <v>109</v>
      </c>
      <c r="H15" t="s">
        <v>110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83</v>
      </c>
      <c r="AE15" t="s">
        <v>83</v>
      </c>
      <c r="AF15" t="s">
        <v>83</v>
      </c>
      <c r="AG15" t="s">
        <v>83</v>
      </c>
      <c r="AH15" t="s">
        <v>83</v>
      </c>
      <c r="AI15" t="s">
        <v>83</v>
      </c>
      <c r="AJ15" t="s">
        <v>83</v>
      </c>
      <c r="AK15" t="s">
        <v>83</v>
      </c>
      <c r="AL15" t="s">
        <v>84</v>
      </c>
      <c r="AM15" t="s">
        <v>83</v>
      </c>
      <c r="AN15" t="s">
        <v>83</v>
      </c>
      <c r="AO15" t="s">
        <v>83</v>
      </c>
      <c r="AP15" t="s">
        <v>83</v>
      </c>
      <c r="AQ15" t="s">
        <v>83</v>
      </c>
      <c r="AR15" t="s">
        <v>83</v>
      </c>
      <c r="AS15" t="s">
        <v>83</v>
      </c>
      <c r="AT15" t="s">
        <v>83</v>
      </c>
      <c r="AU15" t="s">
        <v>83</v>
      </c>
      <c r="AV15" t="s">
        <v>83</v>
      </c>
      <c r="AW15" t="s">
        <v>83</v>
      </c>
      <c r="AX15" t="s">
        <v>83</v>
      </c>
      <c r="AY15" t="s">
        <v>83</v>
      </c>
      <c r="AZ15" t="s">
        <v>83</v>
      </c>
      <c r="BA15" t="s">
        <v>83</v>
      </c>
      <c r="BB15" t="s">
        <v>83</v>
      </c>
      <c r="BC15" t="s">
        <v>83</v>
      </c>
      <c r="BD15" t="s">
        <v>83</v>
      </c>
      <c r="BE15" t="s">
        <v>83</v>
      </c>
      <c r="BF15" t="s">
        <v>83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 t="s">
        <v>83</v>
      </c>
      <c r="BP15" t="s">
        <v>83</v>
      </c>
      <c r="BQ15" t="s">
        <v>83</v>
      </c>
      <c r="BR15" t="s">
        <v>83</v>
      </c>
      <c r="BS15" t="s">
        <v>83</v>
      </c>
      <c r="BT15" t="s">
        <v>83</v>
      </c>
      <c r="BU15" t="s">
        <v>83</v>
      </c>
      <c r="BV15" t="s">
        <v>83</v>
      </c>
      <c r="BW15">
        <f t="shared" si="0"/>
        <v>0</v>
      </c>
      <c r="BX15">
        <f t="shared" si="1"/>
        <v>0</v>
      </c>
      <c r="BY15">
        <f t="shared" si="2"/>
        <v>0</v>
      </c>
      <c r="BZ15">
        <f t="shared" si="3"/>
        <v>0</v>
      </c>
      <c r="CA15">
        <f t="shared" si="4"/>
        <v>0</v>
      </c>
      <c r="CB15">
        <f t="shared" si="5"/>
        <v>0</v>
      </c>
      <c r="CC15">
        <f t="shared" si="6"/>
        <v>0</v>
      </c>
      <c r="CD15">
        <f t="shared" si="7"/>
        <v>0</v>
      </c>
      <c r="CE15">
        <f t="shared" si="8"/>
        <v>0</v>
      </c>
      <c r="CF15">
        <f t="shared" si="9"/>
        <v>0</v>
      </c>
      <c r="CG15">
        <f t="shared" si="10"/>
        <v>0</v>
      </c>
      <c r="CH15">
        <f t="shared" si="11"/>
        <v>0</v>
      </c>
      <c r="CI15">
        <f t="shared" si="12"/>
        <v>0</v>
      </c>
      <c r="CJ15">
        <f t="shared" si="13"/>
        <v>0</v>
      </c>
      <c r="CK15">
        <f t="shared" si="14"/>
        <v>0</v>
      </c>
      <c r="CL15">
        <f t="shared" si="15"/>
        <v>0</v>
      </c>
      <c r="CM15">
        <f t="shared" si="16"/>
        <v>0</v>
      </c>
      <c r="CN15">
        <f t="shared" si="17"/>
        <v>0</v>
      </c>
      <c r="CO15">
        <f t="shared" si="18"/>
        <v>0</v>
      </c>
      <c r="CP15">
        <f t="shared" si="19"/>
        <v>0</v>
      </c>
      <c r="CQ15">
        <f t="shared" si="20"/>
        <v>0</v>
      </c>
      <c r="CR15">
        <f t="shared" si="21"/>
        <v>0</v>
      </c>
      <c r="CS15">
        <f t="shared" si="22"/>
        <v>0</v>
      </c>
      <c r="CT15">
        <f t="shared" si="23"/>
        <v>0</v>
      </c>
      <c r="CU15">
        <f t="shared" si="24"/>
        <v>0</v>
      </c>
      <c r="CV15">
        <f t="shared" si="25"/>
        <v>0</v>
      </c>
      <c r="CW15">
        <f t="shared" si="26"/>
        <v>0</v>
      </c>
      <c r="CX15">
        <f t="shared" si="27"/>
        <v>0</v>
      </c>
      <c r="CY15">
        <f t="shared" si="28"/>
        <v>1</v>
      </c>
      <c r="CZ15">
        <f t="shared" si="29"/>
        <v>0</v>
      </c>
      <c r="DA15">
        <f t="shared" si="30"/>
        <v>0</v>
      </c>
      <c r="DB15">
        <f t="shared" si="31"/>
        <v>0</v>
      </c>
      <c r="DC15">
        <f t="shared" si="32"/>
        <v>0</v>
      </c>
      <c r="DD15">
        <f t="shared" si="33"/>
        <v>0</v>
      </c>
      <c r="DE15">
        <f t="shared" si="34"/>
        <v>0</v>
      </c>
      <c r="DF15">
        <f t="shared" si="35"/>
        <v>0</v>
      </c>
      <c r="DG15">
        <f t="shared" si="36"/>
        <v>0</v>
      </c>
      <c r="DH15">
        <f t="shared" si="37"/>
        <v>0</v>
      </c>
      <c r="DI15">
        <f t="shared" si="38"/>
        <v>0</v>
      </c>
      <c r="DJ15">
        <f t="shared" si="39"/>
        <v>0</v>
      </c>
      <c r="DK15">
        <f t="shared" si="40"/>
        <v>0</v>
      </c>
      <c r="DL15">
        <f t="shared" si="41"/>
        <v>0</v>
      </c>
      <c r="DM15">
        <f t="shared" si="42"/>
        <v>0</v>
      </c>
      <c r="DN15">
        <f t="shared" si="43"/>
        <v>0</v>
      </c>
      <c r="DO15">
        <f t="shared" si="44"/>
        <v>0</v>
      </c>
      <c r="DP15">
        <f t="shared" si="45"/>
        <v>0</v>
      </c>
      <c r="DQ15">
        <f t="shared" si="46"/>
        <v>0</v>
      </c>
      <c r="DR15">
        <f t="shared" si="47"/>
        <v>0</v>
      </c>
      <c r="DS15">
        <f t="shared" si="48"/>
        <v>0</v>
      </c>
      <c r="DT15">
        <f t="shared" si="49"/>
        <v>0</v>
      </c>
      <c r="DU15">
        <f t="shared" si="50"/>
        <v>0</v>
      </c>
      <c r="DV15">
        <f t="shared" si="51"/>
        <v>0</v>
      </c>
      <c r="DW15">
        <f t="shared" si="52"/>
        <v>0</v>
      </c>
      <c r="DX15">
        <f t="shared" si="53"/>
        <v>0</v>
      </c>
      <c r="DY15">
        <f t="shared" si="54"/>
        <v>0</v>
      </c>
      <c r="DZ15">
        <f t="shared" si="55"/>
        <v>0</v>
      </c>
      <c r="EA15">
        <f t="shared" si="56"/>
        <v>0</v>
      </c>
      <c r="EB15">
        <f t="shared" si="57"/>
        <v>0</v>
      </c>
      <c r="EC15">
        <f t="shared" si="58"/>
        <v>0</v>
      </c>
      <c r="ED15">
        <f t="shared" si="59"/>
        <v>0</v>
      </c>
      <c r="EE15">
        <f t="shared" si="60"/>
        <v>0</v>
      </c>
      <c r="EF15">
        <f t="shared" si="61"/>
        <v>0</v>
      </c>
      <c r="EG15">
        <f t="shared" si="62"/>
        <v>0</v>
      </c>
      <c r="EH15">
        <f t="shared" si="63"/>
        <v>0</v>
      </c>
      <c r="EI15">
        <f t="shared" si="64"/>
        <v>0</v>
      </c>
      <c r="EJ15">
        <f t="shared" si="65"/>
        <v>1</v>
      </c>
    </row>
    <row r="16" spans="1:149">
      <c r="ER16" t="s">
        <v>111</v>
      </c>
      <c r="ES16" s="3">
        <v>3.28E-10</v>
      </c>
    </row>
    <row r="17" spans="7:146" ht="15.95">
      <c r="EI17" t="s">
        <v>112</v>
      </c>
      <c r="EJ17">
        <f>COUNT(EJ2:EJ15)</f>
        <v>14</v>
      </c>
      <c r="EM17">
        <v>5</v>
      </c>
      <c r="EN17" s="2">
        <v>4214598</v>
      </c>
      <c r="EO17">
        <v>60</v>
      </c>
      <c r="EP17">
        <f>EM17/EN17/EO17</f>
        <v>1.9772546120254729E-8</v>
      </c>
    </row>
    <row r="18" spans="7:146">
      <c r="EI18" t="s">
        <v>113</v>
      </c>
      <c r="EJ18">
        <v>13</v>
      </c>
      <c r="EM18">
        <v>4</v>
      </c>
      <c r="EP18">
        <f>EM18/EN17/EO17</f>
        <v>1.5818036896203784E-8</v>
      </c>
    </row>
    <row r="19" spans="7:146">
      <c r="EI19" t="s">
        <v>114</v>
      </c>
      <c r="EJ19">
        <v>0</v>
      </c>
      <c r="EM19">
        <v>3</v>
      </c>
      <c r="EP19">
        <f>EM19/EN17/EO17</f>
        <v>1.1863527672152837E-8</v>
      </c>
    </row>
    <row r="20" spans="7:146">
      <c r="EI20" t="s">
        <v>115</v>
      </c>
      <c r="EJ20">
        <v>1</v>
      </c>
      <c r="EM20">
        <v>2</v>
      </c>
      <c r="EP20">
        <f>EM20/EN17/EO17</f>
        <v>7.9090184481018918E-9</v>
      </c>
    </row>
    <row r="21" spans="7:146">
      <c r="EM21">
        <v>1</v>
      </c>
      <c r="EP21">
        <f>EM21/EN17/EO17</f>
        <v>3.9545092240509459E-9</v>
      </c>
    </row>
    <row r="22" spans="7:146">
      <c r="G22" t="s">
        <v>76</v>
      </c>
      <c r="H22" t="s">
        <v>84</v>
      </c>
      <c r="J22">
        <f>COUNTIFS($I$2:$I$15,$G22,J$2:J$15,$H22)</f>
        <v>0</v>
      </c>
      <c r="K22">
        <f>COUNTIFS($I$2:$I$15,$G22,K$2:K$15,$H22)</f>
        <v>0</v>
      </c>
      <c r="L22">
        <f>COUNTIFS($I$2:$I$15,$G22,L$2:L$15,$H22)</f>
        <v>0</v>
      </c>
      <c r="M22">
        <f>COUNTIFS($I$2:$I$15,$G22,M$2:M$15,$H22)</f>
        <v>1</v>
      </c>
      <c r="N22">
        <f>COUNTIFS($I$2:$I$15,$G22,N$2:N$15,$H22)</f>
        <v>0</v>
      </c>
      <c r="O22">
        <f>COUNTIFS($I$2:$I$15,$G22,O$2:O$15,$H22)</f>
        <v>0</v>
      </c>
      <c r="P22">
        <f>COUNTIFS($I$2:$I$15,$G22,P$2:P$15,$H22)</f>
        <v>0</v>
      </c>
      <c r="Q22">
        <f>COUNTIFS($I$2:$I$15,$G22,Q$2:Q$15,$H22)</f>
        <v>0</v>
      </c>
      <c r="R22">
        <f>COUNTIFS($I$2:$I$15,$G22,R$2:R$15,$H22)</f>
        <v>0</v>
      </c>
      <c r="S22">
        <f>COUNTIFS($I$2:$I$15,$G22,S$2:S$15,$H22)</f>
        <v>0</v>
      </c>
      <c r="T22">
        <f>COUNTIFS($I$2:$I$15,$G22,T$2:T$15,$H22)</f>
        <v>0</v>
      </c>
      <c r="U22">
        <f>COUNTIFS($I$2:$I$15,$G22,U$2:U$15,$H22)</f>
        <v>0</v>
      </c>
      <c r="V22">
        <f>COUNTIFS($I$2:$I$15,$G22,V$2:V$15,$H22)</f>
        <v>0</v>
      </c>
      <c r="W22">
        <f>COUNTIFS($I$2:$I$15,$G22,W$2:W$15,$H22)</f>
        <v>0</v>
      </c>
      <c r="X22">
        <f>COUNTIFS($I$2:$I$15,$G22,X$2:X$15,$H22)</f>
        <v>0</v>
      </c>
      <c r="Y22">
        <f>COUNTIFS($I$2:$I$15,$G22,Y$2:Y$15,$H22)</f>
        <v>0</v>
      </c>
      <c r="Z22">
        <f>COUNTIFS($I$2:$I$15,$G22,Z$2:Z$15,$H22)</f>
        <v>0</v>
      </c>
      <c r="AA22">
        <f>COUNTIFS($I$2:$I$15,$G22,AA$2:AA$15,$H22)</f>
        <v>0</v>
      </c>
      <c r="AB22">
        <f>COUNTIFS($I$2:$I$15,$G22,AB$2:AB$15,$H22)</f>
        <v>0</v>
      </c>
      <c r="AC22">
        <f>COUNTIFS($I$2:$I$15,$G22,AC$2:AC$15,$H22)</f>
        <v>0</v>
      </c>
      <c r="AD22">
        <f>COUNTIFS($I$2:$I$15,$G22,AD$2:AD$15,$H22)</f>
        <v>0</v>
      </c>
      <c r="AE22">
        <f>COUNTIFS($I$2:$I$15,$G22,AE$2:AE$15,$H22)</f>
        <v>0</v>
      </c>
      <c r="AF22">
        <f>COUNTIFS($I$2:$I$15,$G22,AF$2:AF$15,$H22)</f>
        <v>0</v>
      </c>
      <c r="AG22">
        <f>COUNTIFS($I$2:$I$15,$G22,AG$2:AG$15,$H22)</f>
        <v>0</v>
      </c>
      <c r="AH22">
        <f>COUNTIFS($I$2:$I$15,$G22,AH$2:AH$15,$H22)</f>
        <v>0</v>
      </c>
      <c r="AI22">
        <f>COUNTIFS($I$2:$I$15,$G22,AI$2:AI$15,$H22)</f>
        <v>0</v>
      </c>
      <c r="AJ22">
        <f>COUNTIFS($I$2:$I$15,$G22,AJ$2:AJ$15,$H22)</f>
        <v>0</v>
      </c>
      <c r="AK22">
        <f>COUNTIFS($I$2:$I$15,$G22,AK$2:AK$15,$H22)</f>
        <v>0</v>
      </c>
      <c r="AL22">
        <f>COUNTIFS($I$2:$I$15,$G22,AL$2:AL$15,$H22)</f>
        <v>0</v>
      </c>
      <c r="AM22">
        <f>COUNTIFS($I$2:$I$15,$G22,AM$2:AM$15,$H22)</f>
        <v>0</v>
      </c>
      <c r="AN22">
        <f>COUNTIFS($I$2:$I$15,$G22,AN$2:AN$15,$H22)</f>
        <v>0</v>
      </c>
      <c r="AO22">
        <f>COUNTIFS($I$2:$I$15,$G22,AO$2:AO$15,$H22)</f>
        <v>0</v>
      </c>
      <c r="AP22">
        <f>COUNTIFS($I$2:$I$15,$G22,AP$2:AP$15,$H22)</f>
        <v>0</v>
      </c>
      <c r="AQ22">
        <f>COUNTIFS($I$2:$I$15,$G22,AQ$2:AQ$15,$H22)</f>
        <v>0</v>
      </c>
      <c r="AR22">
        <f>COUNTIFS($I$2:$I$15,$G22,AR$2:AR$15,$H22)</f>
        <v>0</v>
      </c>
      <c r="AS22">
        <f>COUNTIFS($I$2:$I$15,$G22,AS$2:AS$15,$H22)</f>
        <v>0</v>
      </c>
      <c r="AT22">
        <f>COUNTIFS($I$2:$I$15,$G22,AT$2:AT$15,$H22)</f>
        <v>0</v>
      </c>
      <c r="AU22">
        <f>COUNTIFS($I$2:$I$15,$G22,AU$2:AU$15,$H22)</f>
        <v>0</v>
      </c>
      <c r="AV22">
        <f>COUNTIFS($I$2:$I$15,$G22,AV$2:AV$15,$H22)</f>
        <v>0</v>
      </c>
      <c r="AW22">
        <f>COUNTIFS($I$2:$I$15,$G22,AW$2:AW$15,$H22)</f>
        <v>0</v>
      </c>
      <c r="AX22">
        <f>COUNTIFS($I$2:$I$15,$G22,AX$2:AX$15,$H22)</f>
        <v>0</v>
      </c>
      <c r="AY22">
        <f>COUNTIFS($I$2:$I$15,$G22,AY$2:AY$15,$H22)</f>
        <v>0</v>
      </c>
      <c r="AZ22">
        <f>COUNTIFS($I$2:$I$15,$G22,AZ$2:AZ$15,$H22)</f>
        <v>0</v>
      </c>
      <c r="BA22">
        <f>COUNTIFS($I$2:$I$15,$G22,BA$2:BA$15,$H22)</f>
        <v>0</v>
      </c>
      <c r="BB22">
        <f>COUNTIFS($I$2:$I$15,$G22,BB$2:BB$15,$H22)</f>
        <v>0</v>
      </c>
      <c r="BC22">
        <f>COUNTIFS($I$2:$I$15,$G22,BC$2:BC$15,$H22)</f>
        <v>0</v>
      </c>
      <c r="BD22">
        <f>COUNTIFS($I$2:$I$15,$G22,BD$2:BD$15,$H22)</f>
        <v>0</v>
      </c>
      <c r="BE22">
        <f>COUNTIFS($I$2:$I$15,$G22,BE$2:BE$15,$H22)</f>
        <v>0</v>
      </c>
      <c r="BF22">
        <f>COUNTIFS($I$2:$I$15,$G22,BF$2:BF$15,$H22)</f>
        <v>0</v>
      </c>
      <c r="BG22">
        <f>COUNTIFS($I$2:$I$15,$G22,BG$2:BG$15,$H22)</f>
        <v>0</v>
      </c>
      <c r="BH22">
        <f>COUNTIFS($I$2:$I$15,$G22,BH$2:BH$15,$H22)</f>
        <v>0</v>
      </c>
      <c r="BI22">
        <f>COUNTIFS($I$2:$I$15,$G22,BI$2:BI$15,$H22)</f>
        <v>0</v>
      </c>
      <c r="BJ22">
        <f>COUNTIFS($I$2:$I$15,$G22,BJ$2:BJ$15,$H22)</f>
        <v>0</v>
      </c>
      <c r="BK22">
        <f>COUNTIFS($I$2:$I$15,$G22,BK$2:BK$15,$H22)</f>
        <v>0</v>
      </c>
      <c r="BL22">
        <f>COUNTIFS($I$2:$I$15,$G22,BL$2:BL$15,$H22)</f>
        <v>1</v>
      </c>
      <c r="BM22">
        <f>COUNTIFS($I$2:$I$15,$G22,BM$2:BM$15,$H22)</f>
        <v>0</v>
      </c>
      <c r="BN22">
        <f>COUNTIFS($I$2:$I$15,$G22,BN$2:BN$15,$H22)</f>
        <v>0</v>
      </c>
      <c r="BO22">
        <f>COUNTIFS($I$2:$I$15,$G22,BO$2:BO$15,$H22)</f>
        <v>0</v>
      </c>
      <c r="BP22">
        <f>COUNTIFS($I$2:$I$15,$G22,BP$2:BP$15,$H22)</f>
        <v>0</v>
      </c>
      <c r="BQ22">
        <f>COUNTIFS($I$2:$I$15,$G22,BQ$2:BQ$15,$H22)</f>
        <v>0</v>
      </c>
      <c r="BR22">
        <f>COUNTIFS($I$2:$I$15,$G22,BR$2:BR$15,$H22)</f>
        <v>0</v>
      </c>
      <c r="BS22">
        <f>COUNTIFS($I$2:$I$15,$G22,BS$2:BS$15,$H22)</f>
        <v>0</v>
      </c>
      <c r="BT22">
        <f>COUNTIFS($I$2:$I$15,$G22,BT$2:BT$15,$H22)</f>
        <v>0</v>
      </c>
      <c r="BU22">
        <f>COUNTIFS($I$2:$I$15,$G22,BU$2:BU$15,$H22)</f>
        <v>0</v>
      </c>
      <c r="BV22">
        <f>COUNTIFS($I$2:$I$15,$G22,BV$2:BV$15,$H22)</f>
        <v>0</v>
      </c>
      <c r="EH22" t="s">
        <v>76</v>
      </c>
      <c r="EI22" t="s">
        <v>84</v>
      </c>
      <c r="EJ22">
        <f>SUM(J22:BV22)</f>
        <v>2</v>
      </c>
    </row>
    <row r="23" spans="7:146">
      <c r="G23" t="s">
        <v>76</v>
      </c>
      <c r="H23" t="s">
        <v>75</v>
      </c>
      <c r="J23">
        <f>COUNTIFS($I$2:$I$15,$G23,J$2:J$15,$H23)</f>
        <v>0</v>
      </c>
      <c r="K23">
        <f>COUNTIFS($I$2:$I$15,$G23,K$2:K$15,$H23)</f>
        <v>0</v>
      </c>
      <c r="L23">
        <f>COUNTIFS($I$2:$I$15,$G23,L$2:L$15,$H23)</f>
        <v>0</v>
      </c>
      <c r="M23">
        <f>COUNTIFS($I$2:$I$15,$G23,M$2:M$15,$H23)</f>
        <v>1</v>
      </c>
      <c r="N23">
        <f>COUNTIFS($I$2:$I$15,$G23,N$2:N$15,$H23)</f>
        <v>0</v>
      </c>
      <c r="O23">
        <f>COUNTIFS($I$2:$I$15,$G23,O$2:O$15,$H23)</f>
        <v>0</v>
      </c>
      <c r="P23">
        <f>COUNTIFS($I$2:$I$15,$G23,P$2:P$15,$H23)</f>
        <v>0</v>
      </c>
      <c r="Q23">
        <f>COUNTIFS($I$2:$I$15,$G23,Q$2:Q$15,$H23)</f>
        <v>0</v>
      </c>
      <c r="R23">
        <f>COUNTIFS($I$2:$I$15,$G23,R$2:R$15,$H23)</f>
        <v>0</v>
      </c>
      <c r="S23">
        <f>COUNTIFS($I$2:$I$15,$G23,S$2:S$15,$H23)</f>
        <v>0</v>
      </c>
      <c r="T23">
        <f>COUNTIFS($I$2:$I$15,$G23,T$2:T$15,$H23)</f>
        <v>0</v>
      </c>
      <c r="U23">
        <f>COUNTIFS($I$2:$I$15,$G23,U$2:U$15,$H23)</f>
        <v>0</v>
      </c>
      <c r="V23">
        <f>COUNTIFS($I$2:$I$15,$G23,V$2:V$15,$H23)</f>
        <v>0</v>
      </c>
      <c r="W23">
        <f>COUNTIFS($I$2:$I$15,$G23,W$2:W$15,$H23)</f>
        <v>0</v>
      </c>
      <c r="X23">
        <f>COUNTIFS($I$2:$I$15,$G23,X$2:X$15,$H23)</f>
        <v>0</v>
      </c>
      <c r="Y23">
        <f>COUNTIFS($I$2:$I$15,$G23,Y$2:Y$15,$H23)</f>
        <v>0</v>
      </c>
      <c r="Z23">
        <f>COUNTIFS($I$2:$I$15,$G23,Z$2:Z$15,$H23)</f>
        <v>0</v>
      </c>
      <c r="AA23">
        <f>COUNTIFS($I$2:$I$15,$G23,AA$2:AA$15,$H23)</f>
        <v>0</v>
      </c>
      <c r="AB23">
        <f>COUNTIFS($I$2:$I$15,$G23,AB$2:AB$15,$H23)</f>
        <v>1</v>
      </c>
      <c r="AC23">
        <f>COUNTIFS($I$2:$I$15,$G23,AC$2:AC$15,$H23)</f>
        <v>0</v>
      </c>
      <c r="AD23">
        <f>COUNTIFS($I$2:$I$15,$G23,AD$2:AD$15,$H23)</f>
        <v>0</v>
      </c>
      <c r="AE23">
        <f>COUNTIFS($I$2:$I$15,$G23,AE$2:AE$15,$H23)</f>
        <v>0</v>
      </c>
      <c r="AF23">
        <f>COUNTIFS($I$2:$I$15,$G23,AF$2:AF$15,$H23)</f>
        <v>0</v>
      </c>
      <c r="AG23">
        <f>COUNTIFS($I$2:$I$15,$G23,AG$2:AG$15,$H23)</f>
        <v>1</v>
      </c>
      <c r="AH23">
        <f>COUNTIFS($I$2:$I$15,$G23,AH$2:AH$15,$H23)</f>
        <v>0</v>
      </c>
      <c r="AI23">
        <f>COUNTIFS($I$2:$I$15,$G23,AI$2:AI$15,$H23)</f>
        <v>0</v>
      </c>
      <c r="AJ23">
        <f>COUNTIFS($I$2:$I$15,$G23,AJ$2:AJ$15,$H23)</f>
        <v>0</v>
      </c>
      <c r="AK23">
        <f>COUNTIFS($I$2:$I$15,$G23,AK$2:AK$15,$H23)</f>
        <v>0</v>
      </c>
      <c r="AL23">
        <f>COUNTIFS($I$2:$I$15,$G23,AL$2:AL$15,$H23)</f>
        <v>0</v>
      </c>
      <c r="AM23">
        <f>COUNTIFS($I$2:$I$15,$G23,AM$2:AM$15,$H23)</f>
        <v>0</v>
      </c>
      <c r="AN23">
        <f>COUNTIFS($I$2:$I$15,$G23,AN$2:AN$15,$H23)</f>
        <v>1</v>
      </c>
      <c r="AO23">
        <f>COUNTIFS($I$2:$I$15,$G23,AO$2:AO$15,$H23)</f>
        <v>0</v>
      </c>
      <c r="AP23">
        <f>COUNTIFS($I$2:$I$15,$G23,AP$2:AP$15,$H23)</f>
        <v>0</v>
      </c>
      <c r="AQ23">
        <f>COUNTIFS($I$2:$I$15,$G23,AQ$2:AQ$15,$H23)</f>
        <v>0</v>
      </c>
      <c r="AR23">
        <f>COUNTIFS($I$2:$I$15,$G23,AR$2:AR$15,$H23)</f>
        <v>0</v>
      </c>
      <c r="AS23">
        <f>COUNTIFS($I$2:$I$15,$G23,AS$2:AS$15,$H23)</f>
        <v>0</v>
      </c>
      <c r="AT23">
        <f>COUNTIFS($I$2:$I$15,$G23,AT$2:AT$15,$H23)</f>
        <v>0</v>
      </c>
      <c r="AU23">
        <f>COUNTIFS($I$2:$I$15,$G23,AU$2:AU$15,$H23)</f>
        <v>0</v>
      </c>
      <c r="AV23">
        <f>COUNTIFS($I$2:$I$15,$G23,AV$2:AV$15,$H23)</f>
        <v>0</v>
      </c>
      <c r="AW23">
        <f>COUNTIFS($I$2:$I$15,$G23,AW$2:AW$15,$H23)</f>
        <v>0</v>
      </c>
      <c r="AX23">
        <f>COUNTIFS($I$2:$I$15,$G23,AX$2:AX$15,$H23)</f>
        <v>0</v>
      </c>
      <c r="AY23">
        <f>COUNTIFS($I$2:$I$15,$G23,AY$2:AY$15,$H23)</f>
        <v>1</v>
      </c>
      <c r="AZ23">
        <f>COUNTIFS($I$2:$I$15,$G23,AZ$2:AZ$15,$H23)</f>
        <v>0</v>
      </c>
      <c r="BA23">
        <f>COUNTIFS($I$2:$I$15,$G23,BA$2:BA$15,$H23)</f>
        <v>0</v>
      </c>
      <c r="BB23">
        <f>COUNTIFS($I$2:$I$15,$G23,BB$2:BB$15,$H23)</f>
        <v>0</v>
      </c>
      <c r="BC23">
        <f>COUNTIFS($I$2:$I$15,$G23,BC$2:BC$15,$H23)</f>
        <v>0</v>
      </c>
      <c r="BD23">
        <f>COUNTIFS($I$2:$I$15,$G23,BD$2:BD$15,$H23)</f>
        <v>1</v>
      </c>
      <c r="BE23">
        <f>COUNTIFS($I$2:$I$15,$G23,BE$2:BE$15,$H23)</f>
        <v>0</v>
      </c>
      <c r="BF23">
        <f>COUNTIFS($I$2:$I$15,$G23,BF$2:BF$15,$H23)</f>
        <v>0</v>
      </c>
      <c r="BG23">
        <f>COUNTIFS($I$2:$I$15,$G23,BG$2:BG$15,$H23)</f>
        <v>0</v>
      </c>
      <c r="BH23">
        <f>COUNTIFS($I$2:$I$15,$G23,BH$2:BH$15,$H23)</f>
        <v>0</v>
      </c>
      <c r="BI23">
        <f>COUNTIFS($I$2:$I$15,$G23,BI$2:BI$15,$H23)</f>
        <v>0</v>
      </c>
      <c r="BJ23">
        <f>COUNTIFS($I$2:$I$15,$G23,BJ$2:BJ$15,$H23)</f>
        <v>0</v>
      </c>
      <c r="BK23">
        <f>COUNTIFS($I$2:$I$15,$G23,BK$2:BK$15,$H23)</f>
        <v>0</v>
      </c>
      <c r="BL23">
        <f>COUNTIFS($I$2:$I$15,$G23,BL$2:BL$15,$H23)</f>
        <v>1</v>
      </c>
      <c r="BM23">
        <f>COUNTIFS($I$2:$I$15,$G23,BM$2:BM$15,$H23)</f>
        <v>0</v>
      </c>
      <c r="BN23">
        <f>COUNTIFS($I$2:$I$15,$G23,BN$2:BN$15,$H23)</f>
        <v>0</v>
      </c>
      <c r="BO23">
        <f>COUNTIFS($I$2:$I$15,$G23,BO$2:BO$15,$H23)</f>
        <v>0</v>
      </c>
      <c r="BP23">
        <f>COUNTIFS($I$2:$I$15,$G23,BP$2:BP$15,$H23)</f>
        <v>0</v>
      </c>
      <c r="BQ23">
        <f>COUNTIFS($I$2:$I$15,$G23,BQ$2:BQ$15,$H23)</f>
        <v>0</v>
      </c>
      <c r="BR23">
        <f>COUNTIFS($I$2:$I$15,$G23,BR$2:BR$15,$H23)</f>
        <v>0</v>
      </c>
      <c r="BS23">
        <f>COUNTIFS($I$2:$I$15,$G23,BS$2:BS$15,$H23)</f>
        <v>0</v>
      </c>
      <c r="BT23">
        <f>COUNTIFS($I$2:$I$15,$G23,BT$2:BT$15,$H23)</f>
        <v>0</v>
      </c>
      <c r="BU23">
        <f>COUNTIFS($I$2:$I$15,$G23,BU$2:BU$15,$H23)</f>
        <v>0</v>
      </c>
      <c r="BV23">
        <f>COUNTIFS($I$2:$I$15,$G23,BV$2:BV$15,$H23)</f>
        <v>0</v>
      </c>
      <c r="EH23" t="s">
        <v>76</v>
      </c>
      <c r="EI23" t="s">
        <v>75</v>
      </c>
      <c r="EJ23">
        <f t="shared" ref="EJ23:EJ33" si="66">SUM(J23:BV23)</f>
        <v>7</v>
      </c>
    </row>
    <row r="24" spans="7:146">
      <c r="G24" t="s">
        <v>76</v>
      </c>
      <c r="H24" t="s">
        <v>83</v>
      </c>
      <c r="J24">
        <f>COUNTIFS($I$2:$I$15,$G24,J$2:J$15,$H24)</f>
        <v>0</v>
      </c>
      <c r="K24">
        <f>COUNTIFS($I$2:$I$15,$G24,K$2:K$15,$H24)</f>
        <v>0</v>
      </c>
      <c r="L24">
        <f>COUNTIFS($I$2:$I$15,$G24,L$2:L$15,$H24)</f>
        <v>0</v>
      </c>
      <c r="M24">
        <f>COUNTIFS($I$2:$I$15,$G24,M$2:M$15,$H24)</f>
        <v>0</v>
      </c>
      <c r="N24">
        <f>COUNTIFS($I$2:$I$15,$G24,N$2:N$15,$H24)</f>
        <v>0</v>
      </c>
      <c r="O24">
        <f>COUNTIFS($I$2:$I$15,$G24,O$2:O$15,$H24)</f>
        <v>0</v>
      </c>
      <c r="P24">
        <f>COUNTIFS($I$2:$I$15,$G24,P$2:P$15,$H24)</f>
        <v>0</v>
      </c>
      <c r="Q24">
        <f>COUNTIFS($I$2:$I$15,$G24,Q$2:Q$15,$H24)</f>
        <v>0</v>
      </c>
      <c r="R24">
        <f>COUNTIFS($I$2:$I$15,$G24,R$2:R$15,$H24)</f>
        <v>0</v>
      </c>
      <c r="S24">
        <f>COUNTIFS($I$2:$I$15,$G24,S$2:S$15,$H24)</f>
        <v>0</v>
      </c>
      <c r="T24">
        <f>COUNTIFS($I$2:$I$15,$G24,T$2:T$15,$H24)</f>
        <v>0</v>
      </c>
      <c r="U24">
        <f>COUNTIFS($I$2:$I$15,$G24,U$2:U$15,$H24)</f>
        <v>0</v>
      </c>
      <c r="V24">
        <f>COUNTIFS($I$2:$I$15,$G24,V$2:V$15,$H24)</f>
        <v>0</v>
      </c>
      <c r="W24">
        <f>COUNTIFS($I$2:$I$15,$G24,W$2:W$15,$H24)</f>
        <v>0</v>
      </c>
      <c r="X24">
        <f>COUNTIFS($I$2:$I$15,$G24,X$2:X$15,$H24)</f>
        <v>0</v>
      </c>
      <c r="Y24">
        <f>COUNTIFS($I$2:$I$15,$G24,Y$2:Y$15,$H24)</f>
        <v>0</v>
      </c>
      <c r="Z24">
        <f>COUNTIFS($I$2:$I$15,$G24,Z$2:Z$15,$H24)</f>
        <v>0</v>
      </c>
      <c r="AA24">
        <f>COUNTIFS($I$2:$I$15,$G24,AA$2:AA$15,$H24)</f>
        <v>0</v>
      </c>
      <c r="AB24">
        <f>COUNTIFS($I$2:$I$15,$G24,AB$2:AB$15,$H24)</f>
        <v>0</v>
      </c>
      <c r="AC24">
        <f>COUNTIFS($I$2:$I$15,$G24,AC$2:AC$15,$H24)</f>
        <v>0</v>
      </c>
      <c r="AD24">
        <f>COUNTIFS($I$2:$I$15,$G24,AD$2:AD$15,$H24)</f>
        <v>0</v>
      </c>
      <c r="AE24">
        <f>COUNTIFS($I$2:$I$15,$G24,AE$2:AE$15,$H24)</f>
        <v>0</v>
      </c>
      <c r="AF24">
        <f>COUNTIFS($I$2:$I$15,$G24,AF$2:AF$15,$H24)</f>
        <v>0</v>
      </c>
      <c r="AG24">
        <f>COUNTIFS($I$2:$I$15,$G24,AG$2:AG$15,$H24)</f>
        <v>0</v>
      </c>
      <c r="AH24">
        <f>COUNTIFS($I$2:$I$15,$G24,AH$2:AH$15,$H24)</f>
        <v>0</v>
      </c>
      <c r="AI24">
        <f>COUNTIFS($I$2:$I$15,$G24,AI$2:AI$15,$H24)</f>
        <v>0</v>
      </c>
      <c r="AJ24">
        <f>COUNTIFS($I$2:$I$15,$G24,AJ$2:AJ$15,$H24)</f>
        <v>0</v>
      </c>
      <c r="AK24">
        <f>COUNTIFS($I$2:$I$15,$G24,AK$2:AK$15,$H24)</f>
        <v>0</v>
      </c>
      <c r="AL24">
        <f>COUNTIFS($I$2:$I$15,$G24,AL$2:AL$15,$H24)</f>
        <v>0</v>
      </c>
      <c r="AM24">
        <f>COUNTIFS($I$2:$I$15,$G24,AM$2:AM$15,$H24)</f>
        <v>0</v>
      </c>
      <c r="AN24">
        <f>COUNTIFS($I$2:$I$15,$G24,AN$2:AN$15,$H24)</f>
        <v>0</v>
      </c>
      <c r="AO24">
        <f>COUNTIFS($I$2:$I$15,$G24,AO$2:AO$15,$H24)</f>
        <v>0</v>
      </c>
      <c r="AP24">
        <f>COUNTIFS($I$2:$I$15,$G24,AP$2:AP$15,$H24)</f>
        <v>0</v>
      </c>
      <c r="AQ24">
        <f>COUNTIFS($I$2:$I$15,$G24,AQ$2:AQ$15,$H24)</f>
        <v>0</v>
      </c>
      <c r="AR24">
        <f>COUNTIFS($I$2:$I$15,$G24,AR$2:AR$15,$H24)</f>
        <v>0</v>
      </c>
      <c r="AS24">
        <f>COUNTIFS($I$2:$I$15,$G24,AS$2:AS$15,$H24)</f>
        <v>0</v>
      </c>
      <c r="AT24">
        <f>COUNTIFS($I$2:$I$15,$G24,AT$2:AT$15,$H24)</f>
        <v>0</v>
      </c>
      <c r="AU24">
        <f>COUNTIFS($I$2:$I$15,$G24,AU$2:AU$15,$H24)</f>
        <v>0</v>
      </c>
      <c r="AV24">
        <f>COUNTIFS($I$2:$I$15,$G24,AV$2:AV$15,$H24)</f>
        <v>0</v>
      </c>
      <c r="AW24">
        <f>COUNTIFS($I$2:$I$15,$G24,AW$2:AW$15,$H24)</f>
        <v>0</v>
      </c>
      <c r="AX24">
        <f>COUNTIFS($I$2:$I$15,$G24,AX$2:AX$15,$H24)</f>
        <v>0</v>
      </c>
      <c r="AY24">
        <f>COUNTIFS($I$2:$I$15,$G24,AY$2:AY$15,$H24)</f>
        <v>0</v>
      </c>
      <c r="AZ24">
        <f>COUNTIFS($I$2:$I$15,$G24,AZ$2:AZ$15,$H24)</f>
        <v>0</v>
      </c>
      <c r="BA24">
        <f>COUNTIFS($I$2:$I$15,$G24,BA$2:BA$15,$H24)</f>
        <v>0</v>
      </c>
      <c r="BB24">
        <f>COUNTIFS($I$2:$I$15,$G24,BB$2:BB$15,$H24)</f>
        <v>0</v>
      </c>
      <c r="BC24">
        <f>COUNTIFS($I$2:$I$15,$G24,BC$2:BC$15,$H24)</f>
        <v>0</v>
      </c>
      <c r="BD24">
        <f>COUNTIFS($I$2:$I$15,$G24,BD$2:BD$15,$H24)</f>
        <v>0</v>
      </c>
      <c r="BE24">
        <f>COUNTIFS($I$2:$I$15,$G24,BE$2:BE$15,$H24)</f>
        <v>0</v>
      </c>
      <c r="BF24">
        <f>COUNTIFS($I$2:$I$15,$G24,BF$2:BF$15,$H24)</f>
        <v>0</v>
      </c>
      <c r="BG24">
        <f>COUNTIFS($I$2:$I$15,$G24,BG$2:BG$15,$H24)</f>
        <v>0</v>
      </c>
      <c r="BH24">
        <f>COUNTIFS($I$2:$I$15,$G24,BH$2:BH$15,$H24)</f>
        <v>0</v>
      </c>
      <c r="BI24">
        <f>COUNTIFS($I$2:$I$15,$G24,BI$2:BI$15,$H24)</f>
        <v>0</v>
      </c>
      <c r="BJ24">
        <f>COUNTIFS($I$2:$I$15,$G24,BJ$2:BJ$15,$H24)</f>
        <v>0</v>
      </c>
      <c r="BK24">
        <f>COUNTIFS($I$2:$I$15,$G24,BK$2:BK$15,$H24)</f>
        <v>0</v>
      </c>
      <c r="BL24">
        <f>COUNTIFS($I$2:$I$15,$G24,BL$2:BL$15,$H24)</f>
        <v>0</v>
      </c>
      <c r="BM24">
        <f>COUNTIFS($I$2:$I$15,$G24,BM$2:BM$15,$H24)</f>
        <v>0</v>
      </c>
      <c r="BN24">
        <f>COUNTIFS($I$2:$I$15,$G24,BN$2:BN$15,$H24)</f>
        <v>0</v>
      </c>
      <c r="BO24">
        <f>COUNTIFS($I$2:$I$15,$G24,BO$2:BO$15,$H24)</f>
        <v>0</v>
      </c>
      <c r="BP24">
        <f>COUNTIFS($I$2:$I$15,$G24,BP$2:BP$15,$H24)</f>
        <v>0</v>
      </c>
      <c r="BQ24">
        <f>COUNTIFS($I$2:$I$15,$G24,BQ$2:BQ$15,$H24)</f>
        <v>0</v>
      </c>
      <c r="BR24">
        <f>COUNTIFS($I$2:$I$15,$G24,BR$2:BR$15,$H24)</f>
        <v>0</v>
      </c>
      <c r="BS24">
        <f>COUNTIFS($I$2:$I$15,$G24,BS$2:BS$15,$H24)</f>
        <v>0</v>
      </c>
      <c r="BT24">
        <f>COUNTIFS($I$2:$I$15,$G24,BT$2:BT$15,$H24)</f>
        <v>0</v>
      </c>
      <c r="BU24">
        <f>COUNTIFS($I$2:$I$15,$G24,BU$2:BU$15,$H24)</f>
        <v>0</v>
      </c>
      <c r="BV24">
        <f>COUNTIFS($I$2:$I$15,$G24,BV$2:BV$15,$H24)</f>
        <v>0</v>
      </c>
      <c r="EH24" t="s">
        <v>76</v>
      </c>
      <c r="EI24" t="s">
        <v>83</v>
      </c>
      <c r="EJ24">
        <f t="shared" si="66"/>
        <v>0</v>
      </c>
      <c r="EM24">
        <v>13</v>
      </c>
      <c r="EO24">
        <v>57</v>
      </c>
      <c r="EP24">
        <f>EM24/EN17/EO24</f>
        <v>5.4114336750170831E-8</v>
      </c>
    </row>
    <row r="25" spans="7:146">
      <c r="G25" t="s">
        <v>84</v>
      </c>
      <c r="H25" t="s">
        <v>76</v>
      </c>
      <c r="J25">
        <f>COUNTIFS($I$2:$I$15,$G25,J$2:J$15,$H25)</f>
        <v>0</v>
      </c>
      <c r="K25">
        <f>COUNTIFS($I$2:$I$15,$G25,K$2:K$15,$H25)</f>
        <v>0</v>
      </c>
      <c r="L25">
        <f>COUNTIFS($I$2:$I$15,$G25,L$2:L$15,$H25)</f>
        <v>0</v>
      </c>
      <c r="M25">
        <f>COUNTIFS($I$2:$I$15,$G25,M$2:M$15,$H25)</f>
        <v>0</v>
      </c>
      <c r="N25">
        <f>COUNTIFS($I$2:$I$15,$G25,N$2:N$15,$H25)</f>
        <v>0</v>
      </c>
      <c r="O25">
        <f>COUNTIFS($I$2:$I$15,$G25,O$2:O$15,$H25)</f>
        <v>0</v>
      </c>
      <c r="P25">
        <f>COUNTIFS($I$2:$I$15,$G25,P$2:P$15,$H25)</f>
        <v>0</v>
      </c>
      <c r="Q25">
        <f>COUNTIFS($I$2:$I$15,$G25,Q$2:Q$15,$H25)</f>
        <v>0</v>
      </c>
      <c r="R25">
        <f>COUNTIFS($I$2:$I$15,$G25,R$2:R$15,$H25)</f>
        <v>0</v>
      </c>
      <c r="S25">
        <f>COUNTIFS($I$2:$I$15,$G25,S$2:S$15,$H25)</f>
        <v>0</v>
      </c>
      <c r="T25">
        <f>COUNTIFS($I$2:$I$15,$G25,T$2:T$15,$H25)</f>
        <v>0</v>
      </c>
      <c r="U25">
        <f>COUNTIFS($I$2:$I$15,$G25,U$2:U$15,$H25)</f>
        <v>0</v>
      </c>
      <c r="V25">
        <f>COUNTIFS($I$2:$I$15,$G25,V$2:V$15,$H25)</f>
        <v>0</v>
      </c>
      <c r="W25">
        <f>COUNTIFS($I$2:$I$15,$G25,W$2:W$15,$H25)</f>
        <v>0</v>
      </c>
      <c r="X25">
        <f>COUNTIFS($I$2:$I$15,$G25,X$2:X$15,$H25)</f>
        <v>0</v>
      </c>
      <c r="Y25">
        <f>COUNTIFS($I$2:$I$15,$G25,Y$2:Y$15,$H25)</f>
        <v>0</v>
      </c>
      <c r="Z25">
        <f>COUNTIFS($I$2:$I$15,$G25,Z$2:Z$15,$H25)</f>
        <v>0</v>
      </c>
      <c r="AA25">
        <f>COUNTIFS($I$2:$I$15,$G25,AA$2:AA$15,$H25)</f>
        <v>0</v>
      </c>
      <c r="AB25">
        <f>COUNTIFS($I$2:$I$15,$G25,AB$2:AB$15,$H25)</f>
        <v>0</v>
      </c>
      <c r="AC25">
        <f>COUNTIFS($I$2:$I$15,$G25,AC$2:AC$15,$H25)</f>
        <v>0</v>
      </c>
      <c r="AD25">
        <f>COUNTIFS($I$2:$I$15,$G25,AD$2:AD$15,$H25)</f>
        <v>0</v>
      </c>
      <c r="AE25">
        <f>COUNTIFS($I$2:$I$15,$G25,AE$2:AE$15,$H25)</f>
        <v>0</v>
      </c>
      <c r="AF25">
        <f>COUNTIFS($I$2:$I$15,$G25,AF$2:AF$15,$H25)</f>
        <v>0</v>
      </c>
      <c r="AG25">
        <f>COUNTIFS($I$2:$I$15,$G25,AG$2:AG$15,$H25)</f>
        <v>0</v>
      </c>
      <c r="AH25">
        <f>COUNTIFS($I$2:$I$15,$G25,AH$2:AH$15,$H25)</f>
        <v>0</v>
      </c>
      <c r="AI25">
        <f>COUNTIFS($I$2:$I$15,$G25,AI$2:AI$15,$H25)</f>
        <v>0</v>
      </c>
      <c r="AJ25">
        <f>COUNTIFS($I$2:$I$15,$G25,AJ$2:AJ$15,$H25)</f>
        <v>0</v>
      </c>
      <c r="AK25">
        <f>COUNTIFS($I$2:$I$15,$G25,AK$2:AK$15,$H25)</f>
        <v>0</v>
      </c>
      <c r="AL25">
        <f>COUNTIFS($I$2:$I$15,$G25,AL$2:AL$15,$H25)</f>
        <v>0</v>
      </c>
      <c r="AM25">
        <f>COUNTIFS($I$2:$I$15,$G25,AM$2:AM$15,$H25)</f>
        <v>0</v>
      </c>
      <c r="AN25">
        <f>COUNTIFS($I$2:$I$15,$G25,AN$2:AN$15,$H25)</f>
        <v>0</v>
      </c>
      <c r="AO25">
        <f>COUNTIFS($I$2:$I$15,$G25,AO$2:AO$15,$H25)</f>
        <v>0</v>
      </c>
      <c r="AP25">
        <f>COUNTIFS($I$2:$I$15,$G25,AP$2:AP$15,$H25)</f>
        <v>0</v>
      </c>
      <c r="AQ25">
        <f>COUNTIFS($I$2:$I$15,$G25,AQ$2:AQ$15,$H25)</f>
        <v>0</v>
      </c>
      <c r="AR25">
        <f>COUNTIFS($I$2:$I$15,$G25,AR$2:AR$15,$H25)</f>
        <v>0</v>
      </c>
      <c r="AS25">
        <f>COUNTIFS($I$2:$I$15,$G25,AS$2:AS$15,$H25)</f>
        <v>0</v>
      </c>
      <c r="AT25">
        <f>COUNTIFS($I$2:$I$15,$G25,AT$2:AT$15,$H25)</f>
        <v>0</v>
      </c>
      <c r="AU25">
        <f>COUNTIFS($I$2:$I$15,$G25,AU$2:AU$15,$H25)</f>
        <v>0</v>
      </c>
      <c r="AV25">
        <f>COUNTIFS($I$2:$I$15,$G25,AV$2:AV$15,$H25)</f>
        <v>0</v>
      </c>
      <c r="AW25">
        <f>COUNTIFS($I$2:$I$15,$G25,AW$2:AW$15,$H25)</f>
        <v>0</v>
      </c>
      <c r="AX25">
        <f>COUNTIFS($I$2:$I$15,$G25,AX$2:AX$15,$H25)</f>
        <v>0</v>
      </c>
      <c r="AY25">
        <f>COUNTIFS($I$2:$I$15,$G25,AY$2:AY$15,$H25)</f>
        <v>0</v>
      </c>
      <c r="AZ25">
        <f>COUNTIFS($I$2:$I$15,$G25,AZ$2:AZ$15,$H25)</f>
        <v>0</v>
      </c>
      <c r="BA25">
        <f>COUNTIFS($I$2:$I$15,$G25,BA$2:BA$15,$H25)</f>
        <v>0</v>
      </c>
      <c r="BB25">
        <f>COUNTIFS($I$2:$I$15,$G25,BB$2:BB$15,$H25)</f>
        <v>0</v>
      </c>
      <c r="BC25">
        <f>COUNTIFS($I$2:$I$15,$G25,BC$2:BC$15,$H25)</f>
        <v>0</v>
      </c>
      <c r="BD25">
        <f>COUNTIFS($I$2:$I$15,$G25,BD$2:BD$15,$H25)</f>
        <v>0</v>
      </c>
      <c r="BE25">
        <f>COUNTIFS($I$2:$I$15,$G25,BE$2:BE$15,$H25)</f>
        <v>0</v>
      </c>
      <c r="BF25">
        <f>COUNTIFS($I$2:$I$15,$G25,BF$2:BF$15,$H25)</f>
        <v>0</v>
      </c>
      <c r="BG25">
        <f>COUNTIFS($I$2:$I$15,$G25,BG$2:BG$15,$H25)</f>
        <v>0</v>
      </c>
      <c r="BH25">
        <f>COUNTIFS($I$2:$I$15,$G25,BH$2:BH$15,$H25)</f>
        <v>0</v>
      </c>
      <c r="BI25">
        <f>COUNTIFS($I$2:$I$15,$G25,BI$2:BI$15,$H25)</f>
        <v>0</v>
      </c>
      <c r="BJ25">
        <f>COUNTIFS($I$2:$I$15,$G25,BJ$2:BJ$15,$H25)</f>
        <v>0</v>
      </c>
      <c r="BK25">
        <f>COUNTIFS($I$2:$I$15,$G25,BK$2:BK$15,$H25)</f>
        <v>0</v>
      </c>
      <c r="BL25">
        <f>COUNTIFS($I$2:$I$15,$G25,BL$2:BL$15,$H25)</f>
        <v>0</v>
      </c>
      <c r="BM25">
        <f>COUNTIFS($I$2:$I$15,$G25,BM$2:BM$15,$H25)</f>
        <v>0</v>
      </c>
      <c r="BN25">
        <f>COUNTIFS($I$2:$I$15,$G25,BN$2:BN$15,$H25)</f>
        <v>0</v>
      </c>
      <c r="BO25">
        <f>COUNTIFS($I$2:$I$15,$G25,BO$2:BO$15,$H25)</f>
        <v>1</v>
      </c>
      <c r="BP25">
        <f>COUNTIFS($I$2:$I$15,$G25,BP$2:BP$15,$H25)</f>
        <v>0</v>
      </c>
      <c r="BQ25">
        <f>COUNTIFS($I$2:$I$15,$G25,BQ$2:BQ$15,$H25)</f>
        <v>0</v>
      </c>
      <c r="BR25">
        <f>COUNTIFS($I$2:$I$15,$G25,BR$2:BR$15,$H25)</f>
        <v>0</v>
      </c>
      <c r="BS25">
        <f>COUNTIFS($I$2:$I$15,$G25,BS$2:BS$15,$H25)</f>
        <v>0</v>
      </c>
      <c r="BT25">
        <f>COUNTIFS($I$2:$I$15,$G25,BT$2:BT$15,$H25)</f>
        <v>0</v>
      </c>
      <c r="BU25">
        <f>COUNTIFS($I$2:$I$15,$G25,BU$2:BU$15,$H25)</f>
        <v>0</v>
      </c>
      <c r="BV25">
        <f>COUNTIFS($I$2:$I$15,$G25,BV$2:BV$15,$H25)</f>
        <v>0</v>
      </c>
      <c r="EH25" t="s">
        <v>84</v>
      </c>
      <c r="EI25" t="s">
        <v>76</v>
      </c>
      <c r="EJ25">
        <f t="shared" si="66"/>
        <v>1</v>
      </c>
    </row>
    <row r="26" spans="7:146">
      <c r="G26" t="s">
        <v>84</v>
      </c>
      <c r="H26" t="s">
        <v>75</v>
      </c>
      <c r="J26">
        <f>COUNTIFS($I$2:$I$15,$G26,J$2:J$15,$H26)</f>
        <v>0</v>
      </c>
      <c r="K26">
        <f>COUNTIFS($I$2:$I$15,$G26,K$2:K$15,$H26)</f>
        <v>0</v>
      </c>
      <c r="L26">
        <f>COUNTIFS($I$2:$I$15,$G26,L$2:L$15,$H26)</f>
        <v>0</v>
      </c>
      <c r="M26">
        <f>COUNTIFS($I$2:$I$15,$G26,M$2:M$15,$H26)</f>
        <v>0</v>
      </c>
      <c r="N26">
        <f>COUNTIFS($I$2:$I$15,$G26,N$2:N$15,$H26)</f>
        <v>0</v>
      </c>
      <c r="O26">
        <f>COUNTIFS($I$2:$I$15,$G26,O$2:O$15,$H26)</f>
        <v>0</v>
      </c>
      <c r="P26">
        <f>COUNTIFS($I$2:$I$15,$G26,P$2:P$15,$H26)</f>
        <v>0</v>
      </c>
      <c r="Q26">
        <f>COUNTIFS($I$2:$I$15,$G26,Q$2:Q$15,$H26)</f>
        <v>0</v>
      </c>
      <c r="R26">
        <f>COUNTIFS($I$2:$I$15,$G26,R$2:R$15,$H26)</f>
        <v>0</v>
      </c>
      <c r="S26">
        <f>COUNTIFS($I$2:$I$15,$G26,S$2:S$15,$H26)</f>
        <v>0</v>
      </c>
      <c r="T26">
        <f>COUNTIFS($I$2:$I$15,$G26,T$2:T$15,$H26)</f>
        <v>0</v>
      </c>
      <c r="U26">
        <f>COUNTIFS($I$2:$I$15,$G26,U$2:U$15,$H26)</f>
        <v>0</v>
      </c>
      <c r="V26">
        <f>COUNTIFS($I$2:$I$15,$G26,V$2:V$15,$H26)</f>
        <v>0</v>
      </c>
      <c r="W26">
        <f>COUNTIFS($I$2:$I$15,$G26,W$2:W$15,$H26)</f>
        <v>0</v>
      </c>
      <c r="X26">
        <f>COUNTIFS($I$2:$I$15,$G26,X$2:X$15,$H26)</f>
        <v>0</v>
      </c>
      <c r="Y26">
        <f>COUNTIFS($I$2:$I$15,$G26,Y$2:Y$15,$H26)</f>
        <v>0</v>
      </c>
      <c r="Z26">
        <f>COUNTIFS($I$2:$I$15,$G26,Z$2:Z$15,$H26)</f>
        <v>0</v>
      </c>
      <c r="AA26">
        <f>COUNTIFS($I$2:$I$15,$G26,AA$2:AA$15,$H26)</f>
        <v>0</v>
      </c>
      <c r="AB26">
        <f>COUNTIFS($I$2:$I$15,$G26,AB$2:AB$15,$H26)</f>
        <v>0</v>
      </c>
      <c r="AC26">
        <f>COUNTIFS($I$2:$I$15,$G26,AC$2:AC$15,$H26)</f>
        <v>0</v>
      </c>
      <c r="AD26">
        <f>COUNTIFS($I$2:$I$15,$G26,AD$2:AD$15,$H26)</f>
        <v>0</v>
      </c>
      <c r="AE26">
        <f>COUNTIFS($I$2:$I$15,$G26,AE$2:AE$15,$H26)</f>
        <v>0</v>
      </c>
      <c r="AF26">
        <f>COUNTIFS($I$2:$I$15,$G26,AF$2:AF$15,$H26)</f>
        <v>0</v>
      </c>
      <c r="AG26">
        <f>COUNTIFS($I$2:$I$15,$G26,AG$2:AG$15,$H26)</f>
        <v>0</v>
      </c>
      <c r="AH26">
        <f>COUNTIFS($I$2:$I$15,$G26,AH$2:AH$15,$H26)</f>
        <v>0</v>
      </c>
      <c r="AI26">
        <f>COUNTIFS($I$2:$I$15,$G26,AI$2:AI$15,$H26)</f>
        <v>0</v>
      </c>
      <c r="AJ26">
        <f>COUNTIFS($I$2:$I$15,$G26,AJ$2:AJ$15,$H26)</f>
        <v>0</v>
      </c>
      <c r="AK26">
        <f>COUNTIFS($I$2:$I$15,$G26,AK$2:AK$15,$H26)</f>
        <v>0</v>
      </c>
      <c r="AL26">
        <f>COUNTIFS($I$2:$I$15,$G26,AL$2:AL$15,$H26)</f>
        <v>0</v>
      </c>
      <c r="AM26">
        <f>COUNTIFS($I$2:$I$15,$G26,AM$2:AM$15,$H26)</f>
        <v>0</v>
      </c>
      <c r="AN26">
        <f>COUNTIFS($I$2:$I$15,$G26,AN$2:AN$15,$H26)</f>
        <v>0</v>
      </c>
      <c r="AO26">
        <f>COUNTIFS($I$2:$I$15,$G26,AO$2:AO$15,$H26)</f>
        <v>0</v>
      </c>
      <c r="AP26">
        <f>COUNTIFS($I$2:$I$15,$G26,AP$2:AP$15,$H26)</f>
        <v>0</v>
      </c>
      <c r="AQ26">
        <f>COUNTIFS($I$2:$I$15,$G26,AQ$2:AQ$15,$H26)</f>
        <v>0</v>
      </c>
      <c r="AR26">
        <f>COUNTIFS($I$2:$I$15,$G26,AR$2:AR$15,$H26)</f>
        <v>0</v>
      </c>
      <c r="AS26">
        <f>COUNTIFS($I$2:$I$15,$G26,AS$2:AS$15,$H26)</f>
        <v>0</v>
      </c>
      <c r="AT26">
        <f>COUNTIFS($I$2:$I$15,$G26,AT$2:AT$15,$H26)</f>
        <v>0</v>
      </c>
      <c r="AU26">
        <f>COUNTIFS($I$2:$I$15,$G26,AU$2:AU$15,$H26)</f>
        <v>0</v>
      </c>
      <c r="AV26">
        <f>COUNTIFS($I$2:$I$15,$G26,AV$2:AV$15,$H26)</f>
        <v>0</v>
      </c>
      <c r="AW26">
        <f>COUNTIFS($I$2:$I$15,$G26,AW$2:AW$15,$H26)</f>
        <v>0</v>
      </c>
      <c r="AX26">
        <f>COUNTIFS($I$2:$I$15,$G26,AX$2:AX$15,$H26)</f>
        <v>0</v>
      </c>
      <c r="AY26">
        <f>COUNTIFS($I$2:$I$15,$G26,AY$2:AY$15,$H26)</f>
        <v>0</v>
      </c>
      <c r="AZ26">
        <f>COUNTIFS($I$2:$I$15,$G26,AZ$2:AZ$15,$H26)</f>
        <v>0</v>
      </c>
      <c r="BA26">
        <f>COUNTIFS($I$2:$I$15,$G26,BA$2:BA$15,$H26)</f>
        <v>0</v>
      </c>
      <c r="BB26">
        <f>COUNTIFS($I$2:$I$15,$G26,BB$2:BB$15,$H26)</f>
        <v>0</v>
      </c>
      <c r="BC26">
        <f>COUNTIFS($I$2:$I$15,$G26,BC$2:BC$15,$H26)</f>
        <v>0</v>
      </c>
      <c r="BD26">
        <f>COUNTIFS($I$2:$I$15,$G26,BD$2:BD$15,$H26)</f>
        <v>0</v>
      </c>
      <c r="BE26">
        <f>COUNTIFS($I$2:$I$15,$G26,BE$2:BE$15,$H26)</f>
        <v>0</v>
      </c>
      <c r="BF26">
        <f>COUNTIFS($I$2:$I$15,$G26,BF$2:BF$15,$H26)</f>
        <v>0</v>
      </c>
      <c r="BG26">
        <f>COUNTIFS($I$2:$I$15,$G26,BG$2:BG$15,$H26)</f>
        <v>0</v>
      </c>
      <c r="BH26">
        <f>COUNTIFS($I$2:$I$15,$G26,BH$2:BH$15,$H26)</f>
        <v>0</v>
      </c>
      <c r="BI26">
        <f>COUNTIFS($I$2:$I$15,$G26,BI$2:BI$15,$H26)</f>
        <v>0</v>
      </c>
      <c r="BJ26">
        <f>COUNTIFS($I$2:$I$15,$G26,BJ$2:BJ$15,$H26)</f>
        <v>0</v>
      </c>
      <c r="BK26">
        <f>COUNTIFS($I$2:$I$15,$G26,BK$2:BK$15,$H26)</f>
        <v>0</v>
      </c>
      <c r="BL26">
        <f>COUNTIFS($I$2:$I$15,$G26,BL$2:BL$15,$H26)</f>
        <v>0</v>
      </c>
      <c r="BM26">
        <f>COUNTIFS($I$2:$I$15,$G26,BM$2:BM$15,$H26)</f>
        <v>0</v>
      </c>
      <c r="BN26">
        <f>COUNTIFS($I$2:$I$15,$G26,BN$2:BN$15,$H26)</f>
        <v>0</v>
      </c>
      <c r="BO26">
        <f>COUNTIFS($I$2:$I$15,$G26,BO$2:BO$15,$H26)</f>
        <v>0</v>
      </c>
      <c r="BP26">
        <f>COUNTIFS($I$2:$I$15,$G26,BP$2:BP$15,$H26)</f>
        <v>0</v>
      </c>
      <c r="BQ26">
        <f>COUNTIFS($I$2:$I$15,$G26,BQ$2:BQ$15,$H26)</f>
        <v>0</v>
      </c>
      <c r="BR26">
        <f>COUNTIFS($I$2:$I$15,$G26,BR$2:BR$15,$H26)</f>
        <v>0</v>
      </c>
      <c r="BS26">
        <f>COUNTIFS($I$2:$I$15,$G26,BS$2:BS$15,$H26)</f>
        <v>0</v>
      </c>
      <c r="BT26">
        <f>COUNTIFS($I$2:$I$15,$G26,BT$2:BT$15,$H26)</f>
        <v>0</v>
      </c>
      <c r="BU26">
        <f>COUNTIFS($I$2:$I$15,$G26,BU$2:BU$15,$H26)</f>
        <v>0</v>
      </c>
      <c r="BV26">
        <f>COUNTIFS($I$2:$I$15,$G26,BV$2:BV$15,$H26)</f>
        <v>0</v>
      </c>
      <c r="EH26" t="s">
        <v>84</v>
      </c>
      <c r="EI26" t="s">
        <v>75</v>
      </c>
      <c r="EJ26">
        <f t="shared" si="66"/>
        <v>0</v>
      </c>
    </row>
    <row r="27" spans="7:146">
      <c r="G27" t="s">
        <v>84</v>
      </c>
      <c r="H27" t="s">
        <v>83</v>
      </c>
      <c r="J27">
        <f>COUNTIFS($I$2:$I$15,$G27,J$2:J$15,$H27)</f>
        <v>0</v>
      </c>
      <c r="K27">
        <f>COUNTIFS($I$2:$I$15,$G27,K$2:K$15,$H27)</f>
        <v>0</v>
      </c>
      <c r="L27">
        <f>COUNTIFS($I$2:$I$15,$G27,L$2:L$15,$H27)</f>
        <v>0</v>
      </c>
      <c r="M27">
        <f>COUNTIFS($I$2:$I$15,$G27,M$2:M$15,$H27)</f>
        <v>0</v>
      </c>
      <c r="N27">
        <f>COUNTIFS($I$2:$I$15,$G27,N$2:N$15,$H27)</f>
        <v>0</v>
      </c>
      <c r="O27">
        <f>COUNTIFS($I$2:$I$15,$G27,O$2:O$15,$H27)</f>
        <v>0</v>
      </c>
      <c r="P27">
        <f>COUNTIFS($I$2:$I$15,$G27,P$2:P$15,$H27)</f>
        <v>0</v>
      </c>
      <c r="Q27">
        <f>COUNTIFS($I$2:$I$15,$G27,Q$2:Q$15,$H27)</f>
        <v>0</v>
      </c>
      <c r="R27">
        <f>COUNTIFS($I$2:$I$15,$G27,R$2:R$15,$H27)</f>
        <v>0</v>
      </c>
      <c r="S27">
        <f>COUNTIFS($I$2:$I$15,$G27,S$2:S$15,$H27)</f>
        <v>0</v>
      </c>
      <c r="T27">
        <f>COUNTIFS($I$2:$I$15,$G27,T$2:T$15,$H27)</f>
        <v>0</v>
      </c>
      <c r="U27">
        <f>COUNTIFS($I$2:$I$15,$G27,U$2:U$15,$H27)</f>
        <v>0</v>
      </c>
      <c r="V27">
        <f>COUNTIFS($I$2:$I$15,$G27,V$2:V$15,$H27)</f>
        <v>0</v>
      </c>
      <c r="W27">
        <f>COUNTIFS($I$2:$I$15,$G27,W$2:W$15,$H27)</f>
        <v>0</v>
      </c>
      <c r="X27">
        <f>COUNTIFS($I$2:$I$15,$G27,X$2:X$15,$H27)</f>
        <v>0</v>
      </c>
      <c r="Y27">
        <f>COUNTIFS($I$2:$I$15,$G27,Y$2:Y$15,$H27)</f>
        <v>0</v>
      </c>
      <c r="Z27">
        <f>COUNTIFS($I$2:$I$15,$G27,Z$2:Z$15,$H27)</f>
        <v>0</v>
      </c>
      <c r="AA27">
        <f>COUNTIFS($I$2:$I$15,$G27,AA$2:AA$15,$H27)</f>
        <v>0</v>
      </c>
      <c r="AB27">
        <f>COUNTIFS($I$2:$I$15,$G27,AB$2:AB$15,$H27)</f>
        <v>1</v>
      </c>
      <c r="AC27">
        <f>COUNTIFS($I$2:$I$15,$G27,AC$2:AC$15,$H27)</f>
        <v>0</v>
      </c>
      <c r="AD27">
        <f>COUNTIFS($I$2:$I$15,$G27,AD$2:AD$15,$H27)</f>
        <v>0</v>
      </c>
      <c r="AE27">
        <f>COUNTIFS($I$2:$I$15,$G27,AE$2:AE$15,$H27)</f>
        <v>0</v>
      </c>
      <c r="AF27">
        <f>COUNTIFS($I$2:$I$15,$G27,AF$2:AF$15,$H27)</f>
        <v>0</v>
      </c>
      <c r="AG27">
        <f>COUNTIFS($I$2:$I$15,$G27,AG$2:AG$15,$H27)</f>
        <v>0</v>
      </c>
      <c r="AH27">
        <f>COUNTIFS($I$2:$I$15,$G27,AH$2:AH$15,$H27)</f>
        <v>0</v>
      </c>
      <c r="AI27">
        <f>COUNTIFS($I$2:$I$15,$G27,AI$2:AI$15,$H27)</f>
        <v>0</v>
      </c>
      <c r="AJ27">
        <f>COUNTIFS($I$2:$I$15,$G27,AJ$2:AJ$15,$H27)</f>
        <v>0</v>
      </c>
      <c r="AK27">
        <f>COUNTIFS($I$2:$I$15,$G27,AK$2:AK$15,$H27)</f>
        <v>0</v>
      </c>
      <c r="AL27">
        <f>COUNTIFS($I$2:$I$15,$G27,AL$2:AL$15,$H27)</f>
        <v>0</v>
      </c>
      <c r="AM27">
        <f>COUNTIFS($I$2:$I$15,$G27,AM$2:AM$15,$H27)</f>
        <v>0</v>
      </c>
      <c r="AN27">
        <f>COUNTIFS($I$2:$I$15,$G27,AN$2:AN$15,$H27)</f>
        <v>0</v>
      </c>
      <c r="AO27">
        <f>COUNTIFS($I$2:$I$15,$G27,AO$2:AO$15,$H27)</f>
        <v>1</v>
      </c>
      <c r="AP27">
        <f>COUNTIFS($I$2:$I$15,$G27,AP$2:AP$15,$H27)</f>
        <v>0</v>
      </c>
      <c r="AQ27">
        <f>COUNTIFS($I$2:$I$15,$G27,AQ$2:AQ$15,$H27)</f>
        <v>0</v>
      </c>
      <c r="AR27">
        <f>COUNTIFS($I$2:$I$15,$G27,AR$2:AR$15,$H27)</f>
        <v>0</v>
      </c>
      <c r="AS27">
        <f>COUNTIFS($I$2:$I$15,$G27,AS$2:AS$15,$H27)</f>
        <v>0</v>
      </c>
      <c r="AT27">
        <f>COUNTIFS($I$2:$I$15,$G27,AT$2:AT$15,$H27)</f>
        <v>0</v>
      </c>
      <c r="AU27">
        <f>COUNTIFS($I$2:$I$15,$G27,AU$2:AU$15,$H27)</f>
        <v>0</v>
      </c>
      <c r="AV27">
        <f>COUNTIFS($I$2:$I$15,$G27,AV$2:AV$15,$H27)</f>
        <v>0</v>
      </c>
      <c r="AW27">
        <f>COUNTIFS($I$2:$I$15,$G27,AW$2:AW$15,$H27)</f>
        <v>0</v>
      </c>
      <c r="AX27">
        <f>COUNTIFS($I$2:$I$15,$G27,AX$2:AX$15,$H27)</f>
        <v>0</v>
      </c>
      <c r="AY27">
        <f>COUNTIFS($I$2:$I$15,$G27,AY$2:AY$15,$H27)</f>
        <v>0</v>
      </c>
      <c r="AZ27">
        <f>COUNTIFS($I$2:$I$15,$G27,AZ$2:AZ$15,$H27)</f>
        <v>0</v>
      </c>
      <c r="BA27">
        <f>COUNTIFS($I$2:$I$15,$G27,BA$2:BA$15,$H27)</f>
        <v>0</v>
      </c>
      <c r="BB27">
        <f>COUNTIFS($I$2:$I$15,$G27,BB$2:BB$15,$H27)</f>
        <v>0</v>
      </c>
      <c r="BC27">
        <f>COUNTIFS($I$2:$I$15,$G27,BC$2:BC$15,$H27)</f>
        <v>0</v>
      </c>
      <c r="BD27">
        <f>COUNTIFS($I$2:$I$15,$G27,BD$2:BD$15,$H27)</f>
        <v>0</v>
      </c>
      <c r="BE27">
        <f>COUNTIFS($I$2:$I$15,$G27,BE$2:BE$15,$H27)</f>
        <v>0</v>
      </c>
      <c r="BF27">
        <f>COUNTIFS($I$2:$I$15,$G27,BF$2:BF$15,$H27)</f>
        <v>0</v>
      </c>
      <c r="BG27">
        <f>COUNTIFS($I$2:$I$15,$G27,BG$2:BG$15,$H27)</f>
        <v>0</v>
      </c>
      <c r="BH27">
        <f>COUNTIFS($I$2:$I$15,$G27,BH$2:BH$15,$H27)</f>
        <v>0</v>
      </c>
      <c r="BI27">
        <f>COUNTIFS($I$2:$I$15,$G27,BI$2:BI$15,$H27)</f>
        <v>0</v>
      </c>
      <c r="BJ27">
        <f>COUNTIFS($I$2:$I$15,$G27,BJ$2:BJ$15,$H27)</f>
        <v>0</v>
      </c>
      <c r="BK27">
        <f>COUNTIFS($I$2:$I$15,$G27,BK$2:BK$15,$H27)</f>
        <v>0</v>
      </c>
      <c r="BL27">
        <f>COUNTIFS($I$2:$I$15,$G27,BL$2:BL$15,$H27)</f>
        <v>0</v>
      </c>
      <c r="BM27">
        <f>COUNTIFS($I$2:$I$15,$G27,BM$2:BM$15,$H27)</f>
        <v>0</v>
      </c>
      <c r="BN27">
        <f>COUNTIFS($I$2:$I$15,$G27,BN$2:BN$15,$H27)</f>
        <v>0</v>
      </c>
      <c r="BO27">
        <f>COUNTIFS($I$2:$I$15,$G27,BO$2:BO$15,$H27)</f>
        <v>0</v>
      </c>
      <c r="BP27">
        <f>COUNTIFS($I$2:$I$15,$G27,BP$2:BP$15,$H27)</f>
        <v>0</v>
      </c>
      <c r="BQ27">
        <f>COUNTIFS($I$2:$I$15,$G27,BQ$2:BQ$15,$H27)</f>
        <v>0</v>
      </c>
      <c r="BR27">
        <f>COUNTIFS($I$2:$I$15,$G27,BR$2:BR$15,$H27)</f>
        <v>0</v>
      </c>
      <c r="BS27">
        <f>COUNTIFS($I$2:$I$15,$G27,BS$2:BS$15,$H27)</f>
        <v>0</v>
      </c>
      <c r="BT27">
        <f>COUNTIFS($I$2:$I$15,$G27,BT$2:BT$15,$H27)</f>
        <v>0</v>
      </c>
      <c r="BU27">
        <f>COUNTIFS($I$2:$I$15,$G27,BU$2:BU$15,$H27)</f>
        <v>0</v>
      </c>
      <c r="BV27">
        <f>COUNTIFS($I$2:$I$15,$G27,BV$2:BV$15,$H27)</f>
        <v>0</v>
      </c>
      <c r="EH27" t="s">
        <v>84</v>
      </c>
      <c r="EI27" t="s">
        <v>83</v>
      </c>
      <c r="EJ27">
        <f t="shared" si="66"/>
        <v>2</v>
      </c>
    </row>
    <row r="28" spans="7:146">
      <c r="G28" t="s">
        <v>75</v>
      </c>
      <c r="H28" t="s">
        <v>76</v>
      </c>
      <c r="J28">
        <f>COUNTIFS($I$2:$I$15,$G28,J$2:J$15,$H28)</f>
        <v>1</v>
      </c>
      <c r="K28">
        <f>COUNTIFS($I$2:$I$15,$G28,K$2:K$15,$H28)</f>
        <v>0</v>
      </c>
      <c r="L28">
        <f>COUNTIFS($I$2:$I$15,$G28,L$2:L$15,$H28)</f>
        <v>0</v>
      </c>
      <c r="M28">
        <f>COUNTIFS($I$2:$I$15,$G28,M$2:M$15,$H28)</f>
        <v>1</v>
      </c>
      <c r="N28">
        <f>COUNTIFS($I$2:$I$15,$G28,N$2:N$15,$H28)</f>
        <v>0</v>
      </c>
      <c r="O28">
        <f>COUNTIFS($I$2:$I$15,$G28,O$2:O$15,$H28)</f>
        <v>0</v>
      </c>
      <c r="P28">
        <f>COUNTIFS($I$2:$I$15,$G28,P$2:P$15,$H28)</f>
        <v>0</v>
      </c>
      <c r="Q28">
        <f>COUNTIFS($I$2:$I$15,$G28,Q$2:Q$15,$H28)</f>
        <v>0</v>
      </c>
      <c r="R28">
        <f>COUNTIFS($I$2:$I$15,$G28,R$2:R$15,$H28)</f>
        <v>1</v>
      </c>
      <c r="S28">
        <f>COUNTIFS($I$2:$I$15,$G28,S$2:S$15,$H28)</f>
        <v>0</v>
      </c>
      <c r="T28">
        <f>COUNTIFS($I$2:$I$15,$G28,T$2:T$15,$H28)</f>
        <v>0</v>
      </c>
      <c r="U28">
        <f>COUNTIFS($I$2:$I$15,$G28,U$2:U$15,$H28)</f>
        <v>0</v>
      </c>
      <c r="V28">
        <f>COUNTIFS($I$2:$I$15,$G28,V$2:V$15,$H28)</f>
        <v>0</v>
      </c>
      <c r="W28">
        <f>COUNTIFS($I$2:$I$15,$G28,W$2:W$15,$H28)</f>
        <v>0</v>
      </c>
      <c r="X28">
        <f>COUNTIFS($I$2:$I$15,$G28,X$2:X$15,$H28)</f>
        <v>0</v>
      </c>
      <c r="Y28">
        <f>COUNTIFS($I$2:$I$15,$G28,Y$2:Y$15,$H28)</f>
        <v>1</v>
      </c>
      <c r="Z28">
        <f>COUNTIFS($I$2:$I$15,$G28,Z$2:Z$15,$H28)</f>
        <v>0</v>
      </c>
      <c r="AA28">
        <f>COUNTIFS($I$2:$I$15,$G28,AA$2:AA$15,$H28)</f>
        <v>0</v>
      </c>
      <c r="AB28">
        <f>COUNTIFS($I$2:$I$15,$G28,AB$2:AB$15,$H28)</f>
        <v>2</v>
      </c>
      <c r="AC28">
        <f>COUNTIFS($I$2:$I$15,$G28,AC$2:AC$15,$H28)</f>
        <v>0</v>
      </c>
      <c r="AD28">
        <f>COUNTIFS($I$2:$I$15,$G28,AD$2:AD$15,$H28)</f>
        <v>1</v>
      </c>
      <c r="AE28">
        <f>COUNTIFS($I$2:$I$15,$G28,AE$2:AE$15,$H28)</f>
        <v>0</v>
      </c>
      <c r="AF28">
        <f>COUNTIFS($I$2:$I$15,$G28,AF$2:AF$15,$H28)</f>
        <v>0</v>
      </c>
      <c r="AG28">
        <f>COUNTIFS($I$2:$I$15,$G28,AG$2:AG$15,$H28)</f>
        <v>1</v>
      </c>
      <c r="AH28">
        <f>COUNTIFS($I$2:$I$15,$G28,AH$2:AH$15,$H28)</f>
        <v>0</v>
      </c>
      <c r="AI28">
        <f>COUNTIFS($I$2:$I$15,$G28,AI$2:AI$15,$H28)</f>
        <v>0</v>
      </c>
      <c r="AJ28">
        <f>COUNTIFS($I$2:$I$15,$G28,AJ$2:AJ$15,$H28)</f>
        <v>0</v>
      </c>
      <c r="AK28">
        <f>COUNTIFS($I$2:$I$15,$G28,AK$2:AK$15,$H28)</f>
        <v>1</v>
      </c>
      <c r="AL28">
        <f>COUNTIFS($I$2:$I$15,$G28,AL$2:AL$15,$H28)</f>
        <v>0</v>
      </c>
      <c r="AM28">
        <f>COUNTIFS($I$2:$I$15,$G28,AM$2:AM$15,$H28)</f>
        <v>0</v>
      </c>
      <c r="AN28">
        <f>COUNTIFS($I$2:$I$15,$G28,AN$2:AN$15,$H28)</f>
        <v>0</v>
      </c>
      <c r="AO28">
        <f>COUNTIFS($I$2:$I$15,$G28,AO$2:AO$15,$H28)</f>
        <v>0</v>
      </c>
      <c r="AP28">
        <f>COUNTIFS($I$2:$I$15,$G28,AP$2:AP$15,$H28)</f>
        <v>1</v>
      </c>
      <c r="AQ28">
        <f>COUNTIFS($I$2:$I$15,$G28,AQ$2:AQ$15,$H28)</f>
        <v>0</v>
      </c>
      <c r="AR28">
        <f>COUNTIFS($I$2:$I$15,$G28,AR$2:AR$15,$H28)</f>
        <v>1</v>
      </c>
      <c r="AS28">
        <f>COUNTIFS($I$2:$I$15,$G28,AS$2:AS$15,$H28)</f>
        <v>0</v>
      </c>
      <c r="AT28">
        <f>COUNTIFS($I$2:$I$15,$G28,AT$2:AT$15,$H28)</f>
        <v>0</v>
      </c>
      <c r="AU28">
        <f>COUNTIFS($I$2:$I$15,$G28,AU$2:AU$15,$H28)</f>
        <v>0</v>
      </c>
      <c r="AV28">
        <f>COUNTIFS($I$2:$I$15,$G28,AV$2:AV$15,$H28)</f>
        <v>0</v>
      </c>
      <c r="AW28">
        <f>COUNTIFS($I$2:$I$15,$G28,AW$2:AW$15,$H28)</f>
        <v>0</v>
      </c>
      <c r="AX28">
        <f>COUNTIFS($I$2:$I$15,$G28,AX$2:AX$15,$H28)</f>
        <v>0</v>
      </c>
      <c r="AY28">
        <f>COUNTIFS($I$2:$I$15,$G28,AY$2:AY$15,$H28)</f>
        <v>1</v>
      </c>
      <c r="AZ28">
        <f>COUNTIFS($I$2:$I$15,$G28,AZ$2:AZ$15,$H28)</f>
        <v>0</v>
      </c>
      <c r="BA28">
        <f>COUNTIFS($I$2:$I$15,$G28,BA$2:BA$15,$H28)</f>
        <v>0</v>
      </c>
      <c r="BB28">
        <f>COUNTIFS($I$2:$I$15,$G28,BB$2:BB$15,$H28)</f>
        <v>0</v>
      </c>
      <c r="BC28">
        <f>COUNTIFS($I$2:$I$15,$G28,BC$2:BC$15,$H28)</f>
        <v>0</v>
      </c>
      <c r="BD28">
        <f>COUNTIFS($I$2:$I$15,$G28,BD$2:BD$15,$H28)</f>
        <v>0</v>
      </c>
      <c r="BE28">
        <f>COUNTIFS($I$2:$I$15,$G28,BE$2:BE$15,$H28)</f>
        <v>0</v>
      </c>
      <c r="BF28">
        <f>COUNTIFS($I$2:$I$15,$G28,BF$2:BF$15,$H28)</f>
        <v>0</v>
      </c>
      <c r="BG28">
        <f>COUNTIFS($I$2:$I$15,$G28,BG$2:BG$15,$H28)</f>
        <v>0</v>
      </c>
      <c r="BH28">
        <f>COUNTIFS($I$2:$I$15,$G28,BH$2:BH$15,$H28)</f>
        <v>0</v>
      </c>
      <c r="BI28">
        <f>COUNTIFS($I$2:$I$15,$G28,BI$2:BI$15,$H28)</f>
        <v>0</v>
      </c>
      <c r="BJ28">
        <f>COUNTIFS($I$2:$I$15,$G28,BJ$2:BJ$15,$H28)</f>
        <v>0</v>
      </c>
      <c r="BK28">
        <f>COUNTIFS($I$2:$I$15,$G28,BK$2:BK$15,$H28)</f>
        <v>0</v>
      </c>
      <c r="BL28">
        <f>COUNTIFS($I$2:$I$15,$G28,BL$2:BL$15,$H28)</f>
        <v>1</v>
      </c>
      <c r="BM28">
        <f>COUNTIFS($I$2:$I$15,$G28,BM$2:BM$15,$H28)</f>
        <v>0</v>
      </c>
      <c r="BN28">
        <f>COUNTIFS($I$2:$I$15,$G28,BN$2:BN$15,$H28)</f>
        <v>0</v>
      </c>
      <c r="BO28">
        <f>COUNTIFS($I$2:$I$15,$G28,BO$2:BO$15,$H28)</f>
        <v>0</v>
      </c>
      <c r="BP28">
        <f>COUNTIFS($I$2:$I$15,$G28,BP$2:BP$15,$H28)</f>
        <v>0</v>
      </c>
      <c r="BQ28">
        <f>COUNTIFS($I$2:$I$15,$G28,BQ$2:BQ$15,$H28)</f>
        <v>0</v>
      </c>
      <c r="BR28">
        <f>COUNTIFS($I$2:$I$15,$G28,BR$2:BR$15,$H28)</f>
        <v>1</v>
      </c>
      <c r="BS28">
        <f>COUNTIFS($I$2:$I$15,$G28,BS$2:BS$15,$H28)</f>
        <v>0</v>
      </c>
      <c r="BT28">
        <f>COUNTIFS($I$2:$I$15,$G28,BT$2:BT$15,$H28)</f>
        <v>0</v>
      </c>
      <c r="BU28">
        <f>COUNTIFS($I$2:$I$15,$G28,BU$2:BU$15,$H28)</f>
        <v>0</v>
      </c>
      <c r="BV28">
        <f>COUNTIFS($I$2:$I$15,$G28,BV$2:BV$15,$H28)</f>
        <v>0</v>
      </c>
      <c r="EH28" t="s">
        <v>75</v>
      </c>
      <c r="EI28" t="s">
        <v>76</v>
      </c>
      <c r="EJ28">
        <f t="shared" si="66"/>
        <v>14</v>
      </c>
    </row>
    <row r="29" spans="7:146">
      <c r="G29" t="s">
        <v>75</v>
      </c>
      <c r="H29" t="s">
        <v>84</v>
      </c>
      <c r="J29">
        <f>COUNTIFS($I$2:$I$15,$G29,J$2:J$15,$H29)</f>
        <v>0</v>
      </c>
      <c r="K29">
        <f>COUNTIFS($I$2:$I$15,$G29,K$2:K$15,$H29)</f>
        <v>0</v>
      </c>
      <c r="L29">
        <f>COUNTIFS($I$2:$I$15,$G29,L$2:L$15,$H29)</f>
        <v>0</v>
      </c>
      <c r="M29">
        <f>COUNTIFS($I$2:$I$15,$G29,M$2:M$15,$H29)</f>
        <v>0</v>
      </c>
      <c r="N29">
        <f>COUNTIFS($I$2:$I$15,$G29,N$2:N$15,$H29)</f>
        <v>0</v>
      </c>
      <c r="O29">
        <f>COUNTIFS($I$2:$I$15,$G29,O$2:O$15,$H29)</f>
        <v>0</v>
      </c>
      <c r="P29">
        <f>COUNTIFS($I$2:$I$15,$G29,P$2:P$15,$H29)</f>
        <v>0</v>
      </c>
      <c r="Q29">
        <f>COUNTIFS($I$2:$I$15,$G29,Q$2:Q$15,$H29)</f>
        <v>0</v>
      </c>
      <c r="R29">
        <f>COUNTIFS($I$2:$I$15,$G29,R$2:R$15,$H29)</f>
        <v>0</v>
      </c>
      <c r="S29">
        <f>COUNTIFS($I$2:$I$15,$G29,S$2:S$15,$H29)</f>
        <v>0</v>
      </c>
      <c r="T29">
        <f>COUNTIFS($I$2:$I$15,$G29,T$2:T$15,$H29)</f>
        <v>0</v>
      </c>
      <c r="U29">
        <f>COUNTIFS($I$2:$I$15,$G29,U$2:U$15,$H29)</f>
        <v>0</v>
      </c>
      <c r="V29">
        <f>COUNTIFS($I$2:$I$15,$G29,V$2:V$15,$H29)</f>
        <v>0</v>
      </c>
      <c r="W29">
        <f>COUNTIFS($I$2:$I$15,$G29,W$2:W$15,$H29)</f>
        <v>0</v>
      </c>
      <c r="X29">
        <f>COUNTIFS($I$2:$I$15,$G29,X$2:X$15,$H29)</f>
        <v>0</v>
      </c>
      <c r="Y29">
        <f>COUNTIFS($I$2:$I$15,$G29,Y$2:Y$15,$H29)</f>
        <v>0</v>
      </c>
      <c r="Z29">
        <f>COUNTIFS($I$2:$I$15,$G29,Z$2:Z$15,$H29)</f>
        <v>0</v>
      </c>
      <c r="AA29">
        <f>COUNTIFS($I$2:$I$15,$G29,AA$2:AA$15,$H29)</f>
        <v>0</v>
      </c>
      <c r="AB29">
        <f>COUNTIFS($I$2:$I$15,$G29,AB$2:AB$15,$H29)</f>
        <v>0</v>
      </c>
      <c r="AC29">
        <f>COUNTIFS($I$2:$I$15,$G29,AC$2:AC$15,$H29)</f>
        <v>0</v>
      </c>
      <c r="AD29">
        <f>COUNTIFS($I$2:$I$15,$G29,AD$2:AD$15,$H29)</f>
        <v>0</v>
      </c>
      <c r="AE29">
        <f>COUNTIFS($I$2:$I$15,$G29,AE$2:AE$15,$H29)</f>
        <v>0</v>
      </c>
      <c r="AF29">
        <f>COUNTIFS($I$2:$I$15,$G29,AF$2:AF$15,$H29)</f>
        <v>0</v>
      </c>
      <c r="AG29">
        <f>COUNTIFS($I$2:$I$15,$G29,AG$2:AG$15,$H29)</f>
        <v>0</v>
      </c>
      <c r="AH29">
        <f>COUNTIFS($I$2:$I$15,$G29,AH$2:AH$15,$H29)</f>
        <v>0</v>
      </c>
      <c r="AI29">
        <f>COUNTIFS($I$2:$I$15,$G29,AI$2:AI$15,$H29)</f>
        <v>0</v>
      </c>
      <c r="AJ29">
        <f>COUNTIFS($I$2:$I$15,$G29,AJ$2:AJ$15,$H29)</f>
        <v>0</v>
      </c>
      <c r="AK29">
        <f>COUNTIFS($I$2:$I$15,$G29,AK$2:AK$15,$H29)</f>
        <v>0</v>
      </c>
      <c r="AL29">
        <f>COUNTIFS($I$2:$I$15,$G29,AL$2:AL$15,$H29)</f>
        <v>0</v>
      </c>
      <c r="AM29">
        <f>COUNTIFS($I$2:$I$15,$G29,AM$2:AM$15,$H29)</f>
        <v>0</v>
      </c>
      <c r="AN29">
        <f>COUNTIFS($I$2:$I$15,$G29,AN$2:AN$15,$H29)</f>
        <v>0</v>
      </c>
      <c r="AO29">
        <f>COUNTIFS($I$2:$I$15,$G29,AO$2:AO$15,$H29)</f>
        <v>0</v>
      </c>
      <c r="AP29">
        <f>COUNTIFS($I$2:$I$15,$G29,AP$2:AP$15,$H29)</f>
        <v>0</v>
      </c>
      <c r="AQ29">
        <f>COUNTIFS($I$2:$I$15,$G29,AQ$2:AQ$15,$H29)</f>
        <v>0</v>
      </c>
      <c r="AR29">
        <f>COUNTIFS($I$2:$I$15,$G29,AR$2:AR$15,$H29)</f>
        <v>0</v>
      </c>
      <c r="AS29">
        <f>COUNTIFS($I$2:$I$15,$G29,AS$2:AS$15,$H29)</f>
        <v>0</v>
      </c>
      <c r="AT29">
        <f>COUNTIFS($I$2:$I$15,$G29,AT$2:AT$15,$H29)</f>
        <v>0</v>
      </c>
      <c r="AU29">
        <f>COUNTIFS($I$2:$I$15,$G29,AU$2:AU$15,$H29)</f>
        <v>0</v>
      </c>
      <c r="AV29">
        <f>COUNTIFS($I$2:$I$15,$G29,AV$2:AV$15,$H29)</f>
        <v>0</v>
      </c>
      <c r="AW29">
        <f>COUNTIFS($I$2:$I$15,$G29,AW$2:AW$15,$H29)</f>
        <v>0</v>
      </c>
      <c r="AX29">
        <f>COUNTIFS($I$2:$I$15,$G29,AX$2:AX$15,$H29)</f>
        <v>0</v>
      </c>
      <c r="AY29">
        <f>COUNTIFS($I$2:$I$15,$G29,AY$2:AY$15,$H29)</f>
        <v>0</v>
      </c>
      <c r="AZ29">
        <f>COUNTIFS($I$2:$I$15,$G29,AZ$2:AZ$15,$H29)</f>
        <v>0</v>
      </c>
      <c r="BA29">
        <f>COUNTIFS($I$2:$I$15,$G29,BA$2:BA$15,$H29)</f>
        <v>0</v>
      </c>
      <c r="BB29">
        <f>COUNTIFS($I$2:$I$15,$G29,BB$2:BB$15,$H29)</f>
        <v>0</v>
      </c>
      <c r="BC29">
        <f>COUNTIFS($I$2:$I$15,$G29,BC$2:BC$15,$H29)</f>
        <v>0</v>
      </c>
      <c r="BD29">
        <f>COUNTIFS($I$2:$I$15,$G29,BD$2:BD$15,$H29)</f>
        <v>0</v>
      </c>
      <c r="BE29">
        <f>COUNTIFS($I$2:$I$15,$G29,BE$2:BE$15,$H29)</f>
        <v>0</v>
      </c>
      <c r="BF29">
        <f>COUNTIFS($I$2:$I$15,$G29,BF$2:BF$15,$H29)</f>
        <v>0</v>
      </c>
      <c r="BG29">
        <f>COUNTIFS($I$2:$I$15,$G29,BG$2:BG$15,$H29)</f>
        <v>0</v>
      </c>
      <c r="BH29">
        <f>COUNTIFS($I$2:$I$15,$G29,BH$2:BH$15,$H29)</f>
        <v>0</v>
      </c>
      <c r="BI29">
        <f>COUNTIFS($I$2:$I$15,$G29,BI$2:BI$15,$H29)</f>
        <v>0</v>
      </c>
      <c r="BJ29">
        <f>COUNTIFS($I$2:$I$15,$G29,BJ$2:BJ$15,$H29)</f>
        <v>0</v>
      </c>
      <c r="BK29">
        <f>COUNTIFS($I$2:$I$15,$G29,BK$2:BK$15,$H29)</f>
        <v>0</v>
      </c>
      <c r="BL29">
        <f>COUNTIFS($I$2:$I$15,$G29,BL$2:BL$15,$H29)</f>
        <v>0</v>
      </c>
      <c r="BM29">
        <f>COUNTIFS($I$2:$I$15,$G29,BM$2:BM$15,$H29)</f>
        <v>0</v>
      </c>
      <c r="BN29">
        <f>COUNTIFS($I$2:$I$15,$G29,BN$2:BN$15,$H29)</f>
        <v>0</v>
      </c>
      <c r="BO29">
        <f>COUNTIFS($I$2:$I$15,$G29,BO$2:BO$15,$H29)</f>
        <v>0</v>
      </c>
      <c r="BP29">
        <f>COUNTIFS($I$2:$I$15,$G29,BP$2:BP$15,$H29)</f>
        <v>0</v>
      </c>
      <c r="BQ29">
        <f>COUNTIFS($I$2:$I$15,$G29,BQ$2:BQ$15,$H29)</f>
        <v>0</v>
      </c>
      <c r="BR29">
        <f>COUNTIFS($I$2:$I$15,$G29,BR$2:BR$15,$H29)</f>
        <v>0</v>
      </c>
      <c r="BS29">
        <f>COUNTIFS($I$2:$I$15,$G29,BS$2:BS$15,$H29)</f>
        <v>0</v>
      </c>
      <c r="BT29">
        <f>COUNTIFS($I$2:$I$15,$G29,BT$2:BT$15,$H29)</f>
        <v>0</v>
      </c>
      <c r="BU29">
        <f>COUNTIFS($I$2:$I$15,$G29,BU$2:BU$15,$H29)</f>
        <v>0</v>
      </c>
      <c r="BV29">
        <f>COUNTIFS($I$2:$I$15,$G29,BV$2:BV$15,$H29)</f>
        <v>0</v>
      </c>
      <c r="EH29" t="s">
        <v>75</v>
      </c>
      <c r="EI29" t="s">
        <v>84</v>
      </c>
      <c r="EJ29">
        <f t="shared" si="66"/>
        <v>0</v>
      </c>
    </row>
    <row r="30" spans="7:146">
      <c r="G30" t="s">
        <v>75</v>
      </c>
      <c r="H30" t="s">
        <v>83</v>
      </c>
      <c r="J30">
        <f>COUNTIFS($I$2:$I$15,$G30,J$2:J$15,$H30)</f>
        <v>0</v>
      </c>
      <c r="K30">
        <f>COUNTIFS($I$2:$I$15,$G30,K$2:K$15,$H30)</f>
        <v>0</v>
      </c>
      <c r="L30">
        <f>COUNTIFS($I$2:$I$15,$G30,L$2:L$15,$H30)</f>
        <v>0</v>
      </c>
      <c r="M30">
        <f>COUNTIFS($I$2:$I$15,$G30,M$2:M$15,$H30)</f>
        <v>0</v>
      </c>
      <c r="N30">
        <f>COUNTIFS($I$2:$I$15,$G30,N$2:N$15,$H30)</f>
        <v>0</v>
      </c>
      <c r="O30">
        <f>COUNTIFS($I$2:$I$15,$G30,O$2:O$15,$H30)</f>
        <v>0</v>
      </c>
      <c r="P30">
        <f>COUNTIFS($I$2:$I$15,$G30,P$2:P$15,$H30)</f>
        <v>0</v>
      </c>
      <c r="Q30">
        <f>COUNTIFS($I$2:$I$15,$G30,Q$2:Q$15,$H30)</f>
        <v>0</v>
      </c>
      <c r="R30">
        <f>COUNTIFS($I$2:$I$15,$G30,R$2:R$15,$H30)</f>
        <v>0</v>
      </c>
      <c r="S30">
        <f>COUNTIFS($I$2:$I$15,$G30,S$2:S$15,$H30)</f>
        <v>0</v>
      </c>
      <c r="T30">
        <f>COUNTIFS($I$2:$I$15,$G30,T$2:T$15,$H30)</f>
        <v>0</v>
      </c>
      <c r="U30">
        <f>COUNTIFS($I$2:$I$15,$G30,U$2:U$15,$H30)</f>
        <v>0</v>
      </c>
      <c r="V30">
        <f>COUNTIFS($I$2:$I$15,$G30,V$2:V$15,$H30)</f>
        <v>0</v>
      </c>
      <c r="W30">
        <f>COUNTIFS($I$2:$I$15,$G30,W$2:W$15,$H30)</f>
        <v>0</v>
      </c>
      <c r="X30">
        <f>COUNTIFS($I$2:$I$15,$G30,X$2:X$15,$H30)</f>
        <v>0</v>
      </c>
      <c r="Y30">
        <f>COUNTIFS($I$2:$I$15,$G30,Y$2:Y$15,$H30)</f>
        <v>0</v>
      </c>
      <c r="Z30">
        <f>COUNTIFS($I$2:$I$15,$G30,Z$2:Z$15,$H30)</f>
        <v>0</v>
      </c>
      <c r="AA30">
        <f>COUNTIFS($I$2:$I$15,$G30,AA$2:AA$15,$H30)</f>
        <v>0</v>
      </c>
      <c r="AB30">
        <f>COUNTIFS($I$2:$I$15,$G30,AB$2:AB$15,$H30)</f>
        <v>0</v>
      </c>
      <c r="AC30">
        <f>COUNTIFS($I$2:$I$15,$G30,AC$2:AC$15,$H30)</f>
        <v>0</v>
      </c>
      <c r="AD30">
        <f>COUNTIFS($I$2:$I$15,$G30,AD$2:AD$15,$H30)</f>
        <v>0</v>
      </c>
      <c r="AE30">
        <f>COUNTIFS($I$2:$I$15,$G30,AE$2:AE$15,$H30)</f>
        <v>0</v>
      </c>
      <c r="AF30">
        <f>COUNTIFS($I$2:$I$15,$G30,AF$2:AF$15,$H30)</f>
        <v>0</v>
      </c>
      <c r="AG30">
        <f>COUNTIFS($I$2:$I$15,$G30,AG$2:AG$15,$H30)</f>
        <v>0</v>
      </c>
      <c r="AH30">
        <f>COUNTIFS($I$2:$I$15,$G30,AH$2:AH$15,$H30)</f>
        <v>0</v>
      </c>
      <c r="AI30">
        <f>COUNTIFS($I$2:$I$15,$G30,AI$2:AI$15,$H30)</f>
        <v>0</v>
      </c>
      <c r="AJ30">
        <f>COUNTIFS($I$2:$I$15,$G30,AJ$2:AJ$15,$H30)</f>
        <v>0</v>
      </c>
      <c r="AK30">
        <f>COUNTIFS($I$2:$I$15,$G30,AK$2:AK$15,$H30)</f>
        <v>0</v>
      </c>
      <c r="AL30">
        <f>COUNTIFS($I$2:$I$15,$G30,AL$2:AL$15,$H30)</f>
        <v>0</v>
      </c>
      <c r="AM30">
        <f>COUNTIFS($I$2:$I$15,$G30,AM$2:AM$15,$H30)</f>
        <v>0</v>
      </c>
      <c r="AN30">
        <f>COUNTIFS($I$2:$I$15,$G30,AN$2:AN$15,$H30)</f>
        <v>0</v>
      </c>
      <c r="AO30">
        <f>COUNTIFS($I$2:$I$15,$G30,AO$2:AO$15,$H30)</f>
        <v>0</v>
      </c>
      <c r="AP30">
        <f>COUNTIFS($I$2:$I$15,$G30,AP$2:AP$15,$H30)</f>
        <v>0</v>
      </c>
      <c r="AQ30">
        <f>COUNTIFS($I$2:$I$15,$G30,AQ$2:AQ$15,$H30)</f>
        <v>0</v>
      </c>
      <c r="AR30">
        <f>COUNTIFS($I$2:$I$15,$G30,AR$2:AR$15,$H30)</f>
        <v>0</v>
      </c>
      <c r="AS30">
        <f>COUNTIFS($I$2:$I$15,$G30,AS$2:AS$15,$H30)</f>
        <v>0</v>
      </c>
      <c r="AT30">
        <f>COUNTIFS($I$2:$I$15,$G30,AT$2:AT$15,$H30)</f>
        <v>0</v>
      </c>
      <c r="AU30">
        <f>COUNTIFS($I$2:$I$15,$G30,AU$2:AU$15,$H30)</f>
        <v>0</v>
      </c>
      <c r="AV30">
        <f>COUNTIFS($I$2:$I$15,$G30,AV$2:AV$15,$H30)</f>
        <v>0</v>
      </c>
      <c r="AW30">
        <f>COUNTIFS($I$2:$I$15,$G30,AW$2:AW$15,$H30)</f>
        <v>0</v>
      </c>
      <c r="AX30">
        <f>COUNTIFS($I$2:$I$15,$G30,AX$2:AX$15,$H30)</f>
        <v>0</v>
      </c>
      <c r="AY30">
        <f>COUNTIFS($I$2:$I$15,$G30,AY$2:AY$15,$H30)</f>
        <v>0</v>
      </c>
      <c r="AZ30">
        <f>COUNTIFS($I$2:$I$15,$G30,AZ$2:AZ$15,$H30)</f>
        <v>0</v>
      </c>
      <c r="BA30">
        <f>COUNTIFS($I$2:$I$15,$G30,BA$2:BA$15,$H30)</f>
        <v>0</v>
      </c>
      <c r="BB30">
        <f>COUNTIFS($I$2:$I$15,$G30,BB$2:BB$15,$H30)</f>
        <v>0</v>
      </c>
      <c r="BC30">
        <f>COUNTIFS($I$2:$I$15,$G30,BC$2:BC$15,$H30)</f>
        <v>0</v>
      </c>
      <c r="BD30">
        <f>COUNTIFS($I$2:$I$15,$G30,BD$2:BD$15,$H30)</f>
        <v>0</v>
      </c>
      <c r="BE30">
        <f>COUNTIFS($I$2:$I$15,$G30,BE$2:BE$15,$H30)</f>
        <v>0</v>
      </c>
      <c r="BF30">
        <f>COUNTIFS($I$2:$I$15,$G30,BF$2:BF$15,$H30)</f>
        <v>0</v>
      </c>
      <c r="BG30">
        <f>COUNTIFS($I$2:$I$15,$G30,BG$2:BG$15,$H30)</f>
        <v>0</v>
      </c>
      <c r="BH30">
        <f>COUNTIFS($I$2:$I$15,$G30,BH$2:BH$15,$H30)</f>
        <v>0</v>
      </c>
      <c r="BI30">
        <f>COUNTIFS($I$2:$I$15,$G30,BI$2:BI$15,$H30)</f>
        <v>0</v>
      </c>
      <c r="BJ30">
        <f>COUNTIFS($I$2:$I$15,$G30,BJ$2:BJ$15,$H30)</f>
        <v>0</v>
      </c>
      <c r="BK30">
        <f>COUNTIFS($I$2:$I$15,$G30,BK$2:BK$15,$H30)</f>
        <v>0</v>
      </c>
      <c r="BL30">
        <f>COUNTIFS($I$2:$I$15,$G30,BL$2:BL$15,$H30)</f>
        <v>0</v>
      </c>
      <c r="BM30">
        <f>COUNTIFS($I$2:$I$15,$G30,BM$2:BM$15,$H30)</f>
        <v>0</v>
      </c>
      <c r="BN30">
        <f>COUNTIFS($I$2:$I$15,$G30,BN$2:BN$15,$H30)</f>
        <v>0</v>
      </c>
      <c r="BO30">
        <f>COUNTIFS($I$2:$I$15,$G30,BO$2:BO$15,$H30)</f>
        <v>0</v>
      </c>
      <c r="BP30">
        <f>COUNTIFS($I$2:$I$15,$G30,BP$2:BP$15,$H30)</f>
        <v>0</v>
      </c>
      <c r="BQ30">
        <f>COUNTIFS($I$2:$I$15,$G30,BQ$2:BQ$15,$H30)</f>
        <v>0</v>
      </c>
      <c r="BR30">
        <f>COUNTIFS($I$2:$I$15,$G30,BR$2:BR$15,$H30)</f>
        <v>0</v>
      </c>
      <c r="BS30">
        <f>COUNTIFS($I$2:$I$15,$G30,BS$2:BS$15,$H30)</f>
        <v>0</v>
      </c>
      <c r="BT30">
        <f>COUNTIFS($I$2:$I$15,$G30,BT$2:BT$15,$H30)</f>
        <v>0</v>
      </c>
      <c r="BU30">
        <f>COUNTIFS($I$2:$I$15,$G30,BU$2:BU$15,$H30)</f>
        <v>0</v>
      </c>
      <c r="BV30">
        <f>COUNTIFS($I$2:$I$15,$G30,BV$2:BV$15,$H30)</f>
        <v>0</v>
      </c>
      <c r="EH30" t="s">
        <v>75</v>
      </c>
      <c r="EI30" t="s">
        <v>83</v>
      </c>
      <c r="EJ30">
        <f t="shared" si="66"/>
        <v>0</v>
      </c>
    </row>
    <row r="31" spans="7:146">
      <c r="G31" t="s">
        <v>83</v>
      </c>
      <c r="H31" t="s">
        <v>76</v>
      </c>
      <c r="J31">
        <f>COUNTIFS($I$2:$I$15,$G31,J$2:J$15,$H31)</f>
        <v>0</v>
      </c>
      <c r="K31">
        <f>COUNTIFS($I$2:$I$15,$G31,K$2:K$15,$H31)</f>
        <v>0</v>
      </c>
      <c r="L31">
        <f>COUNTIFS($I$2:$I$15,$G31,L$2:L$15,$H31)</f>
        <v>0</v>
      </c>
      <c r="M31">
        <f>COUNTIFS($I$2:$I$15,$G31,M$2:M$15,$H31)</f>
        <v>1</v>
      </c>
      <c r="N31">
        <f>COUNTIFS($I$2:$I$15,$G31,N$2:N$15,$H31)</f>
        <v>0</v>
      </c>
      <c r="O31">
        <f>COUNTIFS($I$2:$I$15,$G31,O$2:O$15,$H31)</f>
        <v>0</v>
      </c>
      <c r="P31">
        <f>COUNTIFS($I$2:$I$15,$G31,P$2:P$15,$H31)</f>
        <v>0</v>
      </c>
      <c r="Q31">
        <f>COUNTIFS($I$2:$I$15,$G31,Q$2:Q$15,$H31)</f>
        <v>0</v>
      </c>
      <c r="R31">
        <f>COUNTIFS($I$2:$I$15,$G31,R$2:R$15,$H31)</f>
        <v>0</v>
      </c>
      <c r="S31">
        <f>COUNTIFS($I$2:$I$15,$G31,S$2:S$15,$H31)</f>
        <v>0</v>
      </c>
      <c r="T31">
        <f>COUNTIFS($I$2:$I$15,$G31,T$2:T$15,$H31)</f>
        <v>0</v>
      </c>
      <c r="U31">
        <f>COUNTIFS($I$2:$I$15,$G31,U$2:U$15,$H31)</f>
        <v>0</v>
      </c>
      <c r="V31">
        <f>COUNTIFS($I$2:$I$15,$G31,V$2:V$15,$H31)</f>
        <v>0</v>
      </c>
      <c r="W31">
        <f>COUNTIFS($I$2:$I$15,$G31,W$2:W$15,$H31)</f>
        <v>0</v>
      </c>
      <c r="X31">
        <f>COUNTIFS($I$2:$I$15,$G31,X$2:X$15,$H31)</f>
        <v>0</v>
      </c>
      <c r="Y31">
        <f>COUNTIFS($I$2:$I$15,$G31,Y$2:Y$15,$H31)</f>
        <v>0</v>
      </c>
      <c r="Z31">
        <f>COUNTIFS($I$2:$I$15,$G31,Z$2:Z$15,$H31)</f>
        <v>0</v>
      </c>
      <c r="AA31">
        <f>COUNTIFS($I$2:$I$15,$G31,AA$2:AA$15,$H31)</f>
        <v>0</v>
      </c>
      <c r="AB31">
        <f>COUNTIFS($I$2:$I$15,$G31,AB$2:AB$15,$H31)</f>
        <v>0</v>
      </c>
      <c r="AC31">
        <f>COUNTIFS($I$2:$I$15,$G31,AC$2:AC$15,$H31)</f>
        <v>0</v>
      </c>
      <c r="AD31">
        <f>COUNTIFS($I$2:$I$15,$G31,AD$2:AD$15,$H31)</f>
        <v>0</v>
      </c>
      <c r="AE31">
        <f>COUNTIFS($I$2:$I$15,$G31,AE$2:AE$15,$H31)</f>
        <v>0</v>
      </c>
      <c r="AF31">
        <f>COUNTIFS($I$2:$I$15,$G31,AF$2:AF$15,$H31)</f>
        <v>1</v>
      </c>
      <c r="AG31">
        <f>COUNTIFS($I$2:$I$15,$G31,AG$2:AG$15,$H31)</f>
        <v>0</v>
      </c>
      <c r="AH31">
        <f>COUNTIFS($I$2:$I$15,$G31,AH$2:AH$15,$H31)</f>
        <v>0</v>
      </c>
      <c r="AI31">
        <f>COUNTIFS($I$2:$I$15,$G31,AI$2:AI$15,$H31)</f>
        <v>0</v>
      </c>
      <c r="AJ31">
        <f>COUNTIFS($I$2:$I$15,$G31,AJ$2:AJ$15,$H31)</f>
        <v>0</v>
      </c>
      <c r="AK31">
        <f>COUNTIFS($I$2:$I$15,$G31,AK$2:AK$15,$H31)</f>
        <v>0</v>
      </c>
      <c r="AL31">
        <f>COUNTIFS($I$2:$I$15,$G31,AL$2:AL$15,$H31)</f>
        <v>0</v>
      </c>
      <c r="AM31">
        <f>COUNTIFS($I$2:$I$15,$G31,AM$2:AM$15,$H31)</f>
        <v>0</v>
      </c>
      <c r="AN31">
        <f>COUNTIFS($I$2:$I$15,$G31,AN$2:AN$15,$H31)</f>
        <v>0</v>
      </c>
      <c r="AO31">
        <f>COUNTIFS($I$2:$I$15,$G31,AO$2:AO$15,$H31)</f>
        <v>0</v>
      </c>
      <c r="AP31">
        <f>COUNTIFS($I$2:$I$15,$G31,AP$2:AP$15,$H31)</f>
        <v>0</v>
      </c>
      <c r="AQ31">
        <f>COUNTIFS($I$2:$I$15,$G31,AQ$2:AQ$15,$H31)</f>
        <v>0</v>
      </c>
      <c r="AR31">
        <f>COUNTIFS($I$2:$I$15,$G31,AR$2:AR$15,$H31)</f>
        <v>0</v>
      </c>
      <c r="AS31">
        <f>COUNTIFS($I$2:$I$15,$G31,AS$2:AS$15,$H31)</f>
        <v>0</v>
      </c>
      <c r="AT31">
        <f>COUNTIFS($I$2:$I$15,$G31,AT$2:AT$15,$H31)</f>
        <v>0</v>
      </c>
      <c r="AU31">
        <f>COUNTIFS($I$2:$I$15,$G31,AU$2:AU$15,$H31)</f>
        <v>0</v>
      </c>
      <c r="AV31">
        <f>COUNTIFS($I$2:$I$15,$G31,AV$2:AV$15,$H31)</f>
        <v>0</v>
      </c>
      <c r="AW31">
        <f>COUNTIFS($I$2:$I$15,$G31,AW$2:AW$15,$H31)</f>
        <v>0</v>
      </c>
      <c r="AX31">
        <f>COUNTIFS($I$2:$I$15,$G31,AX$2:AX$15,$H31)</f>
        <v>0</v>
      </c>
      <c r="AY31">
        <f>COUNTIFS($I$2:$I$15,$G31,AY$2:AY$15,$H31)</f>
        <v>0</v>
      </c>
      <c r="AZ31">
        <f>COUNTIFS($I$2:$I$15,$G31,AZ$2:AZ$15,$H31)</f>
        <v>0</v>
      </c>
      <c r="BA31">
        <f>COUNTIFS($I$2:$I$15,$G31,BA$2:BA$15,$H31)</f>
        <v>0</v>
      </c>
      <c r="BB31">
        <f>COUNTIFS($I$2:$I$15,$G31,BB$2:BB$15,$H31)</f>
        <v>0</v>
      </c>
      <c r="BC31">
        <f>COUNTIFS($I$2:$I$15,$G31,BC$2:BC$15,$H31)</f>
        <v>0</v>
      </c>
      <c r="BD31">
        <f>COUNTIFS($I$2:$I$15,$G31,BD$2:BD$15,$H31)</f>
        <v>0</v>
      </c>
      <c r="BE31">
        <f>COUNTIFS($I$2:$I$15,$G31,BE$2:BE$15,$H31)</f>
        <v>1</v>
      </c>
      <c r="BF31">
        <f>COUNTIFS($I$2:$I$15,$G31,BF$2:BF$15,$H31)</f>
        <v>1</v>
      </c>
      <c r="BG31">
        <f>COUNTIFS($I$2:$I$15,$G31,BG$2:BG$15,$H31)</f>
        <v>0</v>
      </c>
      <c r="BH31">
        <f>COUNTIFS($I$2:$I$15,$G31,BH$2:BH$15,$H31)</f>
        <v>0</v>
      </c>
      <c r="BI31">
        <f>COUNTIFS($I$2:$I$15,$G31,BI$2:BI$15,$H31)</f>
        <v>0</v>
      </c>
      <c r="BJ31">
        <f>COUNTIFS($I$2:$I$15,$G31,BJ$2:BJ$15,$H31)</f>
        <v>0</v>
      </c>
      <c r="BK31">
        <f>COUNTIFS($I$2:$I$15,$G31,BK$2:BK$15,$H31)</f>
        <v>0</v>
      </c>
      <c r="BL31">
        <f>COUNTIFS($I$2:$I$15,$G31,BL$2:BL$15,$H31)</f>
        <v>1</v>
      </c>
      <c r="BM31">
        <f>COUNTIFS($I$2:$I$15,$G31,BM$2:BM$15,$H31)</f>
        <v>0</v>
      </c>
      <c r="BN31">
        <f>COUNTIFS($I$2:$I$15,$G31,BN$2:BN$15,$H31)</f>
        <v>0</v>
      </c>
      <c r="BO31">
        <f>COUNTIFS($I$2:$I$15,$G31,BO$2:BO$15,$H31)</f>
        <v>0</v>
      </c>
      <c r="BP31">
        <f>COUNTIFS($I$2:$I$15,$G31,BP$2:BP$15,$H31)</f>
        <v>0</v>
      </c>
      <c r="BQ31">
        <f>COUNTIFS($I$2:$I$15,$G31,BQ$2:BQ$15,$H31)</f>
        <v>0</v>
      </c>
      <c r="BR31">
        <f>COUNTIFS($I$2:$I$15,$G31,BR$2:BR$15,$H31)</f>
        <v>0</v>
      </c>
      <c r="BS31">
        <f>COUNTIFS($I$2:$I$15,$G31,BS$2:BS$15,$H31)</f>
        <v>0</v>
      </c>
      <c r="BT31">
        <f>COUNTIFS($I$2:$I$15,$G31,BT$2:BT$15,$H31)</f>
        <v>0</v>
      </c>
      <c r="BU31">
        <f>COUNTIFS($I$2:$I$15,$G31,BU$2:BU$15,$H31)</f>
        <v>0</v>
      </c>
      <c r="BV31">
        <f>COUNTIFS($I$2:$I$15,$G31,BV$2:BV$15,$H31)</f>
        <v>0</v>
      </c>
      <c r="EH31" t="s">
        <v>83</v>
      </c>
      <c r="EI31" t="s">
        <v>76</v>
      </c>
      <c r="EJ31">
        <f t="shared" si="66"/>
        <v>5</v>
      </c>
    </row>
    <row r="32" spans="7:146">
      <c r="G32" t="s">
        <v>83</v>
      </c>
      <c r="H32" t="s">
        <v>84</v>
      </c>
      <c r="J32">
        <f>COUNTIFS($I$2:$I$15,$G32,J$2:J$15,$H32)</f>
        <v>0</v>
      </c>
      <c r="K32">
        <f>COUNTIFS($I$2:$I$15,$G32,K$2:K$15,$H32)</f>
        <v>0</v>
      </c>
      <c r="L32">
        <f>COUNTIFS($I$2:$I$15,$G32,L$2:L$15,$H32)</f>
        <v>0</v>
      </c>
      <c r="M32">
        <f>COUNTIFS($I$2:$I$15,$G32,M$2:M$15,$H32)</f>
        <v>1</v>
      </c>
      <c r="N32">
        <f>COUNTIFS($I$2:$I$15,$G32,N$2:N$15,$H32)</f>
        <v>0</v>
      </c>
      <c r="O32">
        <f>COUNTIFS($I$2:$I$15,$G32,O$2:O$15,$H32)</f>
        <v>0</v>
      </c>
      <c r="P32">
        <f>COUNTIFS($I$2:$I$15,$G32,P$2:P$15,$H32)</f>
        <v>0</v>
      </c>
      <c r="Q32">
        <f>COUNTIFS($I$2:$I$15,$G32,Q$2:Q$15,$H32)</f>
        <v>0</v>
      </c>
      <c r="R32">
        <f>COUNTIFS($I$2:$I$15,$G32,R$2:R$15,$H32)</f>
        <v>0</v>
      </c>
      <c r="S32">
        <f>COUNTIFS($I$2:$I$15,$G32,S$2:S$15,$H32)</f>
        <v>0</v>
      </c>
      <c r="T32">
        <f>COUNTIFS($I$2:$I$15,$G32,T$2:T$15,$H32)</f>
        <v>0</v>
      </c>
      <c r="U32">
        <f>COUNTIFS($I$2:$I$15,$G32,U$2:U$15,$H32)</f>
        <v>0</v>
      </c>
      <c r="V32">
        <f>COUNTIFS($I$2:$I$15,$G32,V$2:V$15,$H32)</f>
        <v>0</v>
      </c>
      <c r="W32">
        <f>COUNTIFS($I$2:$I$15,$G32,W$2:W$15,$H32)</f>
        <v>0</v>
      </c>
      <c r="X32">
        <f>COUNTIFS($I$2:$I$15,$G32,X$2:X$15,$H32)</f>
        <v>0</v>
      </c>
      <c r="Y32">
        <f>COUNTIFS($I$2:$I$15,$G32,Y$2:Y$15,$H32)</f>
        <v>0</v>
      </c>
      <c r="Z32">
        <f>COUNTIFS($I$2:$I$15,$G32,Z$2:Z$15,$H32)</f>
        <v>0</v>
      </c>
      <c r="AA32">
        <f>COUNTIFS($I$2:$I$15,$G32,AA$2:AA$15,$H32)</f>
        <v>0</v>
      </c>
      <c r="AB32">
        <f>COUNTIFS($I$2:$I$15,$G32,AB$2:AB$15,$H32)</f>
        <v>1</v>
      </c>
      <c r="AC32">
        <f>COUNTIFS($I$2:$I$15,$G32,AC$2:AC$15,$H32)</f>
        <v>0</v>
      </c>
      <c r="AD32">
        <f>COUNTIFS($I$2:$I$15,$G32,AD$2:AD$15,$H32)</f>
        <v>0</v>
      </c>
      <c r="AE32">
        <f>COUNTIFS($I$2:$I$15,$G32,AE$2:AE$15,$H32)</f>
        <v>0</v>
      </c>
      <c r="AF32">
        <f>COUNTIFS($I$2:$I$15,$G32,AF$2:AF$15,$H32)</f>
        <v>0</v>
      </c>
      <c r="AG32">
        <f>COUNTIFS($I$2:$I$15,$G32,AG$2:AG$15,$H32)</f>
        <v>1</v>
      </c>
      <c r="AH32">
        <f>COUNTIFS($I$2:$I$15,$G32,AH$2:AH$15,$H32)</f>
        <v>0</v>
      </c>
      <c r="AI32">
        <f>COUNTIFS($I$2:$I$15,$G32,AI$2:AI$15,$H32)</f>
        <v>0</v>
      </c>
      <c r="AJ32">
        <f>COUNTIFS($I$2:$I$15,$G32,AJ$2:AJ$15,$H32)</f>
        <v>0</v>
      </c>
      <c r="AK32">
        <f>COUNTIFS($I$2:$I$15,$G32,AK$2:AK$15,$H32)</f>
        <v>0</v>
      </c>
      <c r="AL32">
        <f>COUNTIFS($I$2:$I$15,$G32,AL$2:AL$15,$H32)</f>
        <v>1</v>
      </c>
      <c r="AM32">
        <f>COUNTIFS($I$2:$I$15,$G32,AM$2:AM$15,$H32)</f>
        <v>0</v>
      </c>
      <c r="AN32">
        <f>COUNTIFS($I$2:$I$15,$G32,AN$2:AN$15,$H32)</f>
        <v>0</v>
      </c>
      <c r="AO32">
        <f>COUNTIFS($I$2:$I$15,$G32,AO$2:AO$15,$H32)</f>
        <v>0</v>
      </c>
      <c r="AP32">
        <f>COUNTIFS($I$2:$I$15,$G32,AP$2:AP$15,$H32)</f>
        <v>0</v>
      </c>
      <c r="AQ32">
        <f>COUNTIFS($I$2:$I$15,$G32,AQ$2:AQ$15,$H32)</f>
        <v>0</v>
      </c>
      <c r="AR32">
        <f>COUNTIFS($I$2:$I$15,$G32,AR$2:AR$15,$H32)</f>
        <v>0</v>
      </c>
      <c r="AS32">
        <f>COUNTIFS($I$2:$I$15,$G32,AS$2:AS$15,$H32)</f>
        <v>0</v>
      </c>
      <c r="AT32">
        <f>COUNTIFS($I$2:$I$15,$G32,AT$2:AT$15,$H32)</f>
        <v>0</v>
      </c>
      <c r="AU32">
        <f>COUNTIFS($I$2:$I$15,$G32,AU$2:AU$15,$H32)</f>
        <v>0</v>
      </c>
      <c r="AV32">
        <f>COUNTIFS($I$2:$I$15,$G32,AV$2:AV$15,$H32)</f>
        <v>0</v>
      </c>
      <c r="AW32">
        <f>COUNTIFS($I$2:$I$15,$G32,AW$2:AW$15,$H32)</f>
        <v>0</v>
      </c>
      <c r="AX32">
        <f>COUNTIFS($I$2:$I$15,$G32,AX$2:AX$15,$H32)</f>
        <v>0</v>
      </c>
      <c r="AY32">
        <f>COUNTIFS($I$2:$I$15,$G32,AY$2:AY$15,$H32)</f>
        <v>1</v>
      </c>
      <c r="AZ32">
        <f>COUNTIFS($I$2:$I$15,$G32,AZ$2:AZ$15,$H32)</f>
        <v>0</v>
      </c>
      <c r="BA32">
        <f>COUNTIFS($I$2:$I$15,$G32,BA$2:BA$15,$H32)</f>
        <v>0</v>
      </c>
      <c r="BB32">
        <f>COUNTIFS($I$2:$I$15,$G32,BB$2:BB$15,$H32)</f>
        <v>0</v>
      </c>
      <c r="BC32">
        <f>COUNTIFS($I$2:$I$15,$G32,BC$2:BC$15,$H32)</f>
        <v>0</v>
      </c>
      <c r="BD32">
        <f>COUNTIFS($I$2:$I$15,$G32,BD$2:BD$15,$H32)</f>
        <v>0</v>
      </c>
      <c r="BE32">
        <f>COUNTIFS($I$2:$I$15,$G32,BE$2:BE$15,$H32)</f>
        <v>0</v>
      </c>
      <c r="BF32">
        <f>COUNTIFS($I$2:$I$15,$G32,BF$2:BF$15,$H32)</f>
        <v>0</v>
      </c>
      <c r="BG32">
        <f>COUNTIFS($I$2:$I$15,$G32,BG$2:BG$15,$H32)</f>
        <v>0</v>
      </c>
      <c r="BH32">
        <f>COUNTIFS($I$2:$I$15,$G32,BH$2:BH$15,$H32)</f>
        <v>0</v>
      </c>
      <c r="BI32">
        <f>COUNTIFS($I$2:$I$15,$G32,BI$2:BI$15,$H32)</f>
        <v>0</v>
      </c>
      <c r="BJ32">
        <f>COUNTIFS($I$2:$I$15,$G32,BJ$2:BJ$15,$H32)</f>
        <v>0</v>
      </c>
      <c r="BK32">
        <f>COUNTIFS($I$2:$I$15,$G32,BK$2:BK$15,$H32)</f>
        <v>0</v>
      </c>
      <c r="BL32">
        <f>COUNTIFS($I$2:$I$15,$G32,BL$2:BL$15,$H32)</f>
        <v>1</v>
      </c>
      <c r="BM32">
        <f>COUNTIFS($I$2:$I$15,$G32,BM$2:BM$15,$H32)</f>
        <v>0</v>
      </c>
      <c r="BN32">
        <f>COUNTIFS($I$2:$I$15,$G32,BN$2:BN$15,$H32)</f>
        <v>0</v>
      </c>
      <c r="BO32">
        <f>COUNTIFS($I$2:$I$15,$G32,BO$2:BO$15,$H32)</f>
        <v>0</v>
      </c>
      <c r="BP32">
        <f>COUNTIFS($I$2:$I$15,$G32,BP$2:BP$15,$H32)</f>
        <v>0</v>
      </c>
      <c r="BQ32">
        <f>COUNTIFS($I$2:$I$15,$G32,BQ$2:BQ$15,$H32)</f>
        <v>0</v>
      </c>
      <c r="BR32">
        <f>COUNTIFS($I$2:$I$15,$G32,BR$2:BR$15,$H32)</f>
        <v>0</v>
      </c>
      <c r="BS32">
        <f>COUNTIFS($I$2:$I$15,$G32,BS$2:BS$15,$H32)</f>
        <v>0</v>
      </c>
      <c r="BT32">
        <f>COUNTIFS($I$2:$I$15,$G32,BT$2:BT$15,$H32)</f>
        <v>0</v>
      </c>
      <c r="BU32">
        <f>COUNTIFS($I$2:$I$15,$G32,BU$2:BU$15,$H32)</f>
        <v>0</v>
      </c>
      <c r="BV32">
        <f>COUNTIFS($I$2:$I$15,$G32,BV$2:BV$15,$H32)</f>
        <v>0</v>
      </c>
      <c r="EH32" t="s">
        <v>83</v>
      </c>
      <c r="EI32" t="s">
        <v>84</v>
      </c>
      <c r="EJ32">
        <f t="shared" si="66"/>
        <v>6</v>
      </c>
    </row>
    <row r="33" spans="7:140">
      <c r="G33" t="s">
        <v>83</v>
      </c>
      <c r="H33" t="s">
        <v>75</v>
      </c>
      <c r="J33">
        <f>COUNTIFS($I$2:$I$15,$G33,J$2:J$15,$H33)</f>
        <v>0</v>
      </c>
      <c r="K33">
        <f>COUNTIFS($I$2:$I$15,$G33,K$2:K$15,$H33)</f>
        <v>0</v>
      </c>
      <c r="L33">
        <f>COUNTIFS($I$2:$I$15,$G33,L$2:L$15,$H33)</f>
        <v>0</v>
      </c>
      <c r="M33">
        <f>COUNTIFS($I$2:$I$15,$G33,M$2:M$15,$H33)</f>
        <v>0</v>
      </c>
      <c r="N33">
        <f>COUNTIFS($I$2:$I$15,$G33,N$2:N$15,$H33)</f>
        <v>0</v>
      </c>
      <c r="O33">
        <f>COUNTIFS($I$2:$I$15,$G33,O$2:O$15,$H33)</f>
        <v>0</v>
      </c>
      <c r="P33">
        <f>COUNTIFS($I$2:$I$15,$G33,P$2:P$15,$H33)</f>
        <v>0</v>
      </c>
      <c r="Q33">
        <f>COUNTIFS($I$2:$I$15,$G33,Q$2:Q$15,$H33)</f>
        <v>0</v>
      </c>
      <c r="R33">
        <f>COUNTIFS($I$2:$I$15,$G33,R$2:R$15,$H33)</f>
        <v>0</v>
      </c>
      <c r="S33">
        <f>COUNTIFS($I$2:$I$15,$G33,S$2:S$15,$H33)</f>
        <v>0</v>
      </c>
      <c r="T33">
        <f>COUNTIFS($I$2:$I$15,$G33,T$2:T$15,$H33)</f>
        <v>0</v>
      </c>
      <c r="U33">
        <f>COUNTIFS($I$2:$I$15,$G33,U$2:U$15,$H33)</f>
        <v>0</v>
      </c>
      <c r="V33">
        <f>COUNTIFS($I$2:$I$15,$G33,V$2:V$15,$H33)</f>
        <v>0</v>
      </c>
      <c r="W33">
        <f>COUNTIFS($I$2:$I$15,$G33,W$2:W$15,$H33)</f>
        <v>0</v>
      </c>
      <c r="X33">
        <f>COUNTIFS($I$2:$I$15,$G33,X$2:X$15,$H33)</f>
        <v>0</v>
      </c>
      <c r="Y33">
        <f>COUNTIFS($I$2:$I$15,$G33,Y$2:Y$15,$H33)</f>
        <v>0</v>
      </c>
      <c r="Z33">
        <f>COUNTIFS($I$2:$I$15,$G33,Z$2:Z$15,$H33)</f>
        <v>0</v>
      </c>
      <c r="AA33">
        <f>COUNTIFS($I$2:$I$15,$G33,AA$2:AA$15,$H33)</f>
        <v>0</v>
      </c>
      <c r="AB33">
        <f>COUNTIFS($I$2:$I$15,$G33,AB$2:AB$15,$H33)</f>
        <v>0</v>
      </c>
      <c r="AC33">
        <f>COUNTIFS($I$2:$I$15,$G33,AC$2:AC$15,$H33)</f>
        <v>0</v>
      </c>
      <c r="AD33">
        <f>COUNTIFS($I$2:$I$15,$G33,AD$2:AD$15,$H33)</f>
        <v>0</v>
      </c>
      <c r="AE33">
        <f>COUNTIFS($I$2:$I$15,$G33,AE$2:AE$15,$H33)</f>
        <v>0</v>
      </c>
      <c r="AF33">
        <f>COUNTIFS($I$2:$I$15,$G33,AF$2:AF$15,$H33)</f>
        <v>0</v>
      </c>
      <c r="AG33">
        <f>COUNTIFS($I$2:$I$15,$G33,AG$2:AG$15,$H33)</f>
        <v>0</v>
      </c>
      <c r="AH33">
        <f>COUNTIFS($I$2:$I$15,$G33,AH$2:AH$15,$H33)</f>
        <v>0</v>
      </c>
      <c r="AI33">
        <f>COUNTIFS($I$2:$I$15,$G33,AI$2:AI$15,$H33)</f>
        <v>0</v>
      </c>
      <c r="AJ33">
        <f>COUNTIFS($I$2:$I$15,$G33,AJ$2:AJ$15,$H33)</f>
        <v>0</v>
      </c>
      <c r="AK33">
        <f>COUNTIFS($I$2:$I$15,$G33,AK$2:AK$15,$H33)</f>
        <v>0</v>
      </c>
      <c r="AL33">
        <f>COUNTIFS($I$2:$I$15,$G33,AL$2:AL$15,$H33)</f>
        <v>0</v>
      </c>
      <c r="AM33">
        <f>COUNTIFS($I$2:$I$15,$G33,AM$2:AM$15,$H33)</f>
        <v>0</v>
      </c>
      <c r="AN33">
        <f>COUNTIFS($I$2:$I$15,$G33,AN$2:AN$15,$H33)</f>
        <v>0</v>
      </c>
      <c r="AO33">
        <f>COUNTIFS($I$2:$I$15,$G33,AO$2:AO$15,$H33)</f>
        <v>0</v>
      </c>
      <c r="AP33">
        <f>COUNTIFS($I$2:$I$15,$G33,AP$2:AP$15,$H33)</f>
        <v>0</v>
      </c>
      <c r="AQ33">
        <f>COUNTIFS($I$2:$I$15,$G33,AQ$2:AQ$15,$H33)</f>
        <v>0</v>
      </c>
      <c r="AR33">
        <f>COUNTIFS($I$2:$I$15,$G33,AR$2:AR$15,$H33)</f>
        <v>0</v>
      </c>
      <c r="AS33">
        <f>COUNTIFS($I$2:$I$15,$G33,AS$2:AS$15,$H33)</f>
        <v>0</v>
      </c>
      <c r="AT33">
        <f>COUNTIFS($I$2:$I$15,$G33,AT$2:AT$15,$H33)</f>
        <v>0</v>
      </c>
      <c r="AU33">
        <f>COUNTIFS($I$2:$I$15,$G33,AU$2:AU$15,$H33)</f>
        <v>0</v>
      </c>
      <c r="AV33">
        <f>COUNTIFS($I$2:$I$15,$G33,AV$2:AV$15,$H33)</f>
        <v>0</v>
      </c>
      <c r="AW33">
        <f>COUNTIFS($I$2:$I$15,$G33,AW$2:AW$15,$H33)</f>
        <v>0</v>
      </c>
      <c r="AX33">
        <f>COUNTIFS($I$2:$I$15,$G33,AX$2:AX$15,$H33)</f>
        <v>0</v>
      </c>
      <c r="AY33">
        <f>COUNTIFS($I$2:$I$15,$G33,AY$2:AY$15,$H33)</f>
        <v>0</v>
      </c>
      <c r="AZ33">
        <f>COUNTIFS($I$2:$I$15,$G33,AZ$2:AZ$15,$H33)</f>
        <v>0</v>
      </c>
      <c r="BA33">
        <f>COUNTIFS($I$2:$I$15,$G33,BA$2:BA$15,$H33)</f>
        <v>0</v>
      </c>
      <c r="BB33">
        <f>COUNTIFS($I$2:$I$15,$G33,BB$2:BB$15,$H33)</f>
        <v>0</v>
      </c>
      <c r="BC33">
        <f>COUNTIFS($I$2:$I$15,$G33,BC$2:BC$15,$H33)</f>
        <v>0</v>
      </c>
      <c r="BD33">
        <f>COUNTIFS($I$2:$I$15,$G33,BD$2:BD$15,$H33)</f>
        <v>0</v>
      </c>
      <c r="BE33">
        <f>COUNTIFS($I$2:$I$15,$G33,BE$2:BE$15,$H33)</f>
        <v>0</v>
      </c>
      <c r="BF33">
        <f>COUNTIFS($I$2:$I$15,$G33,BF$2:BF$15,$H33)</f>
        <v>0</v>
      </c>
      <c r="BG33">
        <f>COUNTIFS($I$2:$I$15,$G33,BG$2:BG$15,$H33)</f>
        <v>0</v>
      </c>
      <c r="BH33">
        <f>COUNTIFS($I$2:$I$15,$G33,BH$2:BH$15,$H33)</f>
        <v>0</v>
      </c>
      <c r="BI33">
        <f>COUNTIFS($I$2:$I$15,$G33,BI$2:BI$15,$H33)</f>
        <v>0</v>
      </c>
      <c r="BJ33">
        <f>COUNTIFS($I$2:$I$15,$G33,BJ$2:BJ$15,$H33)</f>
        <v>0</v>
      </c>
      <c r="BK33">
        <f>COUNTIFS($I$2:$I$15,$G33,BK$2:BK$15,$H33)</f>
        <v>0</v>
      </c>
      <c r="BL33">
        <f>COUNTIFS($I$2:$I$15,$G33,BL$2:BL$15,$H33)</f>
        <v>0</v>
      </c>
      <c r="BM33">
        <f>COUNTIFS($I$2:$I$15,$G33,BM$2:BM$15,$H33)</f>
        <v>0</v>
      </c>
      <c r="BN33">
        <f>COUNTIFS($I$2:$I$15,$G33,BN$2:BN$15,$H33)</f>
        <v>0</v>
      </c>
      <c r="BO33">
        <f>COUNTIFS($I$2:$I$15,$G33,BO$2:BO$15,$H33)</f>
        <v>0</v>
      </c>
      <c r="BP33">
        <f>COUNTIFS($I$2:$I$15,$G33,BP$2:BP$15,$H33)</f>
        <v>0</v>
      </c>
      <c r="BQ33">
        <f>COUNTIFS($I$2:$I$15,$G33,BQ$2:BQ$15,$H33)</f>
        <v>0</v>
      </c>
      <c r="BR33">
        <f>COUNTIFS($I$2:$I$15,$G33,BR$2:BR$15,$H33)</f>
        <v>0</v>
      </c>
      <c r="BS33">
        <f>COUNTIFS($I$2:$I$15,$G33,BS$2:BS$15,$H33)</f>
        <v>0</v>
      </c>
      <c r="BT33">
        <f>COUNTIFS($I$2:$I$15,$G33,BT$2:BT$15,$H33)</f>
        <v>0</v>
      </c>
      <c r="BU33">
        <f>COUNTIFS($I$2:$I$15,$G33,BU$2:BU$15,$H33)</f>
        <v>0</v>
      </c>
      <c r="BV33">
        <f>COUNTIFS($I$2:$I$15,$G33,BV$2:BV$15,$H33)</f>
        <v>0</v>
      </c>
      <c r="EH33" t="s">
        <v>83</v>
      </c>
      <c r="EI33" t="s">
        <v>75</v>
      </c>
      <c r="EJ33">
        <f t="shared" si="66"/>
        <v>0</v>
      </c>
    </row>
    <row r="34" spans="7:140">
      <c r="G34" t="s">
        <v>112</v>
      </c>
      <c r="J34">
        <f>SUM(J22:J33)</f>
        <v>1</v>
      </c>
      <c r="K34">
        <f t="shared" ref="K34:BV34" si="67">SUM(K22:K33)</f>
        <v>0</v>
      </c>
      <c r="L34">
        <f t="shared" si="67"/>
        <v>0</v>
      </c>
      <c r="M34">
        <f t="shared" si="67"/>
        <v>5</v>
      </c>
      <c r="N34">
        <f t="shared" si="67"/>
        <v>0</v>
      </c>
      <c r="O34">
        <f t="shared" si="67"/>
        <v>0</v>
      </c>
      <c r="P34">
        <f t="shared" si="67"/>
        <v>0</v>
      </c>
      <c r="Q34">
        <f t="shared" si="67"/>
        <v>0</v>
      </c>
      <c r="R34">
        <f t="shared" si="67"/>
        <v>1</v>
      </c>
      <c r="S34">
        <f t="shared" si="67"/>
        <v>0</v>
      </c>
      <c r="T34">
        <f t="shared" si="67"/>
        <v>0</v>
      </c>
      <c r="U34">
        <f t="shared" si="67"/>
        <v>0</v>
      </c>
      <c r="V34">
        <f t="shared" si="67"/>
        <v>0</v>
      </c>
      <c r="W34">
        <f t="shared" si="67"/>
        <v>0</v>
      </c>
      <c r="X34">
        <f t="shared" si="67"/>
        <v>0</v>
      </c>
      <c r="Y34">
        <f t="shared" si="67"/>
        <v>1</v>
      </c>
      <c r="Z34">
        <f t="shared" si="67"/>
        <v>0</v>
      </c>
      <c r="AA34">
        <f t="shared" si="67"/>
        <v>0</v>
      </c>
      <c r="AB34">
        <f t="shared" si="67"/>
        <v>5</v>
      </c>
      <c r="AC34">
        <f t="shared" si="67"/>
        <v>0</v>
      </c>
      <c r="AD34">
        <f t="shared" si="67"/>
        <v>1</v>
      </c>
      <c r="AE34">
        <f t="shared" si="67"/>
        <v>0</v>
      </c>
      <c r="AF34">
        <f t="shared" si="67"/>
        <v>1</v>
      </c>
      <c r="AG34">
        <f t="shared" si="67"/>
        <v>3</v>
      </c>
      <c r="AH34">
        <f t="shared" si="67"/>
        <v>0</v>
      </c>
      <c r="AI34">
        <f t="shared" si="67"/>
        <v>0</v>
      </c>
      <c r="AJ34">
        <f t="shared" si="67"/>
        <v>0</v>
      </c>
      <c r="AK34">
        <f t="shared" si="67"/>
        <v>1</v>
      </c>
      <c r="AL34">
        <f t="shared" si="67"/>
        <v>1</v>
      </c>
      <c r="AM34">
        <f t="shared" si="67"/>
        <v>0</v>
      </c>
      <c r="AN34">
        <f t="shared" si="67"/>
        <v>1</v>
      </c>
      <c r="AO34">
        <f t="shared" si="67"/>
        <v>1</v>
      </c>
      <c r="AP34">
        <f t="shared" si="67"/>
        <v>1</v>
      </c>
      <c r="AQ34">
        <f t="shared" si="67"/>
        <v>0</v>
      </c>
      <c r="AR34">
        <f t="shared" si="67"/>
        <v>1</v>
      </c>
      <c r="AS34">
        <f t="shared" si="67"/>
        <v>0</v>
      </c>
      <c r="AT34">
        <f t="shared" si="67"/>
        <v>0</v>
      </c>
      <c r="AU34">
        <f t="shared" si="67"/>
        <v>0</v>
      </c>
      <c r="AV34">
        <f t="shared" si="67"/>
        <v>0</v>
      </c>
      <c r="AW34">
        <f t="shared" si="67"/>
        <v>0</v>
      </c>
      <c r="AX34">
        <f t="shared" si="67"/>
        <v>0</v>
      </c>
      <c r="AY34">
        <f t="shared" si="67"/>
        <v>3</v>
      </c>
      <c r="AZ34">
        <f t="shared" si="67"/>
        <v>0</v>
      </c>
      <c r="BA34">
        <f t="shared" si="67"/>
        <v>0</v>
      </c>
      <c r="BB34">
        <f t="shared" si="67"/>
        <v>0</v>
      </c>
      <c r="BC34">
        <f t="shared" si="67"/>
        <v>0</v>
      </c>
      <c r="BD34">
        <f t="shared" si="67"/>
        <v>1</v>
      </c>
      <c r="BE34">
        <f t="shared" si="67"/>
        <v>1</v>
      </c>
      <c r="BF34">
        <f t="shared" si="67"/>
        <v>1</v>
      </c>
      <c r="BG34">
        <f t="shared" si="67"/>
        <v>0</v>
      </c>
      <c r="BH34">
        <f t="shared" si="67"/>
        <v>0</v>
      </c>
      <c r="BI34">
        <f t="shared" si="67"/>
        <v>0</v>
      </c>
      <c r="BJ34">
        <f t="shared" si="67"/>
        <v>0</v>
      </c>
      <c r="BK34">
        <f t="shared" si="67"/>
        <v>0</v>
      </c>
      <c r="BL34">
        <f t="shared" si="67"/>
        <v>5</v>
      </c>
      <c r="BM34">
        <f t="shared" si="67"/>
        <v>0</v>
      </c>
      <c r="BN34">
        <f t="shared" si="67"/>
        <v>0</v>
      </c>
      <c r="BO34">
        <f t="shared" si="67"/>
        <v>1</v>
      </c>
      <c r="BP34">
        <f t="shared" si="67"/>
        <v>0</v>
      </c>
      <c r="BQ34">
        <f t="shared" si="67"/>
        <v>0</v>
      </c>
      <c r="BR34">
        <f t="shared" si="67"/>
        <v>1</v>
      </c>
      <c r="BS34">
        <f t="shared" si="67"/>
        <v>0</v>
      </c>
      <c r="BT34">
        <f t="shared" si="67"/>
        <v>0</v>
      </c>
      <c r="BU34">
        <f t="shared" si="67"/>
        <v>0</v>
      </c>
      <c r="BV34">
        <f t="shared" si="67"/>
        <v>0</v>
      </c>
    </row>
  </sheetData>
  <autoFilter ref="A1:EJ15" xr:uid="{00000000-0009-0000-0000-000000000000}">
    <sortState xmlns:xlrd2="http://schemas.microsoft.com/office/spreadsheetml/2017/richdata2" ref="A2:EJ23">
      <sortCondition descending="1" ref="EJ1:EJ23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6"/>
  <sheetViews>
    <sheetView workbookViewId="0">
      <selection activeCell="E5" sqref="E5:F5"/>
    </sheetView>
  </sheetViews>
  <sheetFormatPr defaultColWidth="11" defaultRowHeight="15"/>
  <sheetData>
    <row r="4" spans="1:6">
      <c r="A4" t="s">
        <v>116</v>
      </c>
      <c r="B4">
        <v>25</v>
      </c>
      <c r="E4" t="s">
        <v>116</v>
      </c>
      <c r="F4">
        <v>21</v>
      </c>
    </row>
    <row r="5" spans="1:6">
      <c r="A5" t="s">
        <v>117</v>
      </c>
      <c r="B5">
        <v>8</v>
      </c>
      <c r="E5" t="s">
        <v>118</v>
      </c>
      <c r="F5">
        <v>1</v>
      </c>
    </row>
    <row r="6" spans="1:6">
      <c r="A6" t="s">
        <v>118</v>
      </c>
      <c r="B6">
        <v>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311BDA3D10C43B0915ADFF4C0CBD3" ma:contentTypeVersion="0" ma:contentTypeDescription="Create a new document." ma:contentTypeScope="" ma:versionID="5a13f64e89ed22ca4a4c6860c68bfc1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F8B946-96C9-47FB-8285-E0A03BFAD48A}"/>
</file>

<file path=customXml/itemProps2.xml><?xml version="1.0" encoding="utf-8"?>
<ds:datastoreItem xmlns:ds="http://schemas.openxmlformats.org/officeDocument/2006/customXml" ds:itemID="{69F01A66-CD07-4ECB-AE59-7078F23A3E35}"/>
</file>

<file path=customXml/itemProps3.xml><?xml version="1.0" encoding="utf-8"?>
<ds:datastoreItem xmlns:ds="http://schemas.openxmlformats.org/officeDocument/2006/customXml" ds:itemID="{7BCDD7A1-50C8-4B2F-9EFD-4295F0432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Indiana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Behringer</dc:creator>
  <cp:keywords/>
  <dc:description/>
  <cp:lastModifiedBy>Karakoç, Canan</cp:lastModifiedBy>
  <cp:revision/>
  <dcterms:created xsi:type="dcterms:W3CDTF">2016-10-19T18:14:06Z</dcterms:created>
  <dcterms:modified xsi:type="dcterms:W3CDTF">2023-10-11T19:18:13Z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0x010100873311BDA3D10C43B0915ADFF4C0CBD3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