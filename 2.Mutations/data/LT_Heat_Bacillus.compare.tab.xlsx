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gbehri/Desktop/LennonLab/Bacillus/BacillusDataFinal/LongTerm_HeatKilled/"/>
    </mc:Choice>
  </mc:AlternateContent>
  <xr:revisionPtr revIDLastSave="0" documentId="13_ncr:1_{7B616E4A-D631-F64D-A4BB-4D223FC97A10}" xr6:coauthVersionLast="43" xr6:coauthVersionMax="43" xr10:uidLastSave="{00000000-0000-0000-0000-000000000000}"/>
  <bookViews>
    <workbookView xWindow="11780" yWindow="4380" windowWidth="27640" windowHeight="16940" activeTab="1" xr2:uid="{00000000-000D-0000-FFFF-FFFF00000000}"/>
  </bookViews>
  <sheets>
    <sheet name="LT_Heat_Bacillus.compare" sheetId="1" r:id="rId1"/>
    <sheet name="Sheet4" sheetId="5" r:id="rId2"/>
    <sheet name="Sheet3" sheetId="4" r:id="rId3"/>
    <sheet name="Sheet1" sheetId="2" r:id="rId4"/>
    <sheet name="Sheet2" sheetId="3" r:id="rId5"/>
  </sheets>
  <definedNames>
    <definedName name="_xlnm._FilterDatabase" localSheetId="0" hidden="1">LT_Heat_Bacillus.compare!$A$1:$GN$5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3" i="4" l="1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L3" i="4"/>
  <c r="P3" i="4" s="1"/>
  <c r="L4" i="4"/>
  <c r="P4" i="4" s="1"/>
  <c r="L5" i="4"/>
  <c r="P5" i="4" s="1"/>
  <c r="L6" i="4"/>
  <c r="P6" i="4" s="1"/>
  <c r="L7" i="4"/>
  <c r="P7" i="4" s="1"/>
  <c r="L8" i="4"/>
  <c r="P8" i="4" s="1"/>
  <c r="L9" i="4"/>
  <c r="P9" i="4" s="1"/>
  <c r="L10" i="4"/>
  <c r="P10" i="4" s="1"/>
  <c r="L11" i="4"/>
  <c r="P11" i="4" s="1"/>
  <c r="L12" i="4"/>
  <c r="P12" i="4" s="1"/>
  <c r="L13" i="4"/>
  <c r="P13" i="4" s="1"/>
  <c r="L14" i="4"/>
  <c r="P14" i="4" s="1"/>
  <c r="L15" i="4"/>
  <c r="P15" i="4" s="1"/>
  <c r="L16" i="4"/>
  <c r="P16" i="4" s="1"/>
  <c r="L17" i="4"/>
  <c r="P17" i="4" s="1"/>
  <c r="L18" i="4"/>
  <c r="P18" i="4" s="1"/>
  <c r="L19" i="4"/>
  <c r="P19" i="4" s="1"/>
  <c r="L20" i="4"/>
  <c r="P20" i="4" s="1"/>
  <c r="L21" i="4"/>
  <c r="P21" i="4" s="1"/>
  <c r="L22" i="4"/>
  <c r="P22" i="4" s="1"/>
  <c r="L23" i="4"/>
  <c r="P23" i="4" s="1"/>
  <c r="L24" i="4"/>
  <c r="P24" i="4" s="1"/>
  <c r="L25" i="4"/>
  <c r="P25" i="4" s="1"/>
  <c r="L26" i="4"/>
  <c r="P26" i="4" s="1"/>
  <c r="L27" i="4"/>
  <c r="P27" i="4" s="1"/>
  <c r="L28" i="4"/>
  <c r="P28" i="4" s="1"/>
  <c r="L29" i="4"/>
  <c r="P29" i="4" s="1"/>
  <c r="L30" i="4"/>
  <c r="P30" i="4" s="1"/>
  <c r="L31" i="4"/>
  <c r="P31" i="4" s="1"/>
  <c r="L32" i="4"/>
  <c r="P32" i="4" s="1"/>
  <c r="L33" i="4"/>
  <c r="P33" i="4" s="1"/>
  <c r="L34" i="4"/>
  <c r="P34" i="4" s="1"/>
  <c r="L35" i="4"/>
  <c r="P35" i="4" s="1"/>
  <c r="L36" i="4"/>
  <c r="P36" i="4" s="1"/>
  <c r="L37" i="4"/>
  <c r="P37" i="4" s="1"/>
  <c r="L38" i="4"/>
  <c r="P38" i="4" s="1"/>
  <c r="L39" i="4"/>
  <c r="P39" i="4" s="1"/>
  <c r="L40" i="4"/>
  <c r="P40" i="4" s="1"/>
  <c r="L41" i="4"/>
  <c r="P41" i="4" s="1"/>
  <c r="L42" i="4"/>
  <c r="P42" i="4" s="1"/>
  <c r="L43" i="4"/>
  <c r="P43" i="4" s="1"/>
  <c r="L44" i="4"/>
  <c r="P44" i="4" s="1"/>
  <c r="L45" i="4"/>
  <c r="P45" i="4" s="1"/>
  <c r="L46" i="4"/>
  <c r="P46" i="4" s="1"/>
  <c r="L47" i="4"/>
  <c r="P47" i="4" s="1"/>
  <c r="L48" i="4"/>
  <c r="P48" i="4" s="1"/>
  <c r="L49" i="4"/>
  <c r="P49" i="4" s="1"/>
  <c r="L2" i="4"/>
  <c r="P2" i="4" s="1"/>
  <c r="M2" i="4"/>
  <c r="N2" i="4"/>
  <c r="K3" i="4"/>
  <c r="O3" i="4" s="1"/>
  <c r="K4" i="4"/>
  <c r="O4" i="4" s="1"/>
  <c r="K5" i="4"/>
  <c r="O5" i="4" s="1"/>
  <c r="K6" i="4"/>
  <c r="O6" i="4" s="1"/>
  <c r="K7" i="4"/>
  <c r="O7" i="4" s="1"/>
  <c r="K8" i="4"/>
  <c r="O8" i="4" s="1"/>
  <c r="K9" i="4"/>
  <c r="O9" i="4" s="1"/>
  <c r="K10" i="4"/>
  <c r="O10" i="4" s="1"/>
  <c r="K11" i="4"/>
  <c r="O11" i="4" s="1"/>
  <c r="K12" i="4"/>
  <c r="O12" i="4" s="1"/>
  <c r="K13" i="4"/>
  <c r="O13" i="4" s="1"/>
  <c r="K14" i="4"/>
  <c r="O14" i="4" s="1"/>
  <c r="K15" i="4"/>
  <c r="O15" i="4" s="1"/>
  <c r="K16" i="4"/>
  <c r="O16" i="4" s="1"/>
  <c r="K17" i="4"/>
  <c r="O17" i="4" s="1"/>
  <c r="K18" i="4"/>
  <c r="O18" i="4" s="1"/>
  <c r="Q18" i="4" s="1"/>
  <c r="K19" i="4"/>
  <c r="O19" i="4" s="1"/>
  <c r="Q19" i="4" s="1"/>
  <c r="K20" i="4"/>
  <c r="O20" i="4" s="1"/>
  <c r="K21" i="4"/>
  <c r="O21" i="4" s="1"/>
  <c r="Q21" i="4" s="1"/>
  <c r="K22" i="4"/>
  <c r="O22" i="4" s="1"/>
  <c r="Q22" i="4" s="1"/>
  <c r="K23" i="4"/>
  <c r="O23" i="4" s="1"/>
  <c r="Q23" i="4" s="1"/>
  <c r="K24" i="4"/>
  <c r="O24" i="4" s="1"/>
  <c r="K25" i="4"/>
  <c r="O25" i="4" s="1"/>
  <c r="Q25" i="4" s="1"/>
  <c r="K26" i="4"/>
  <c r="O26" i="4" s="1"/>
  <c r="Q26" i="4" s="1"/>
  <c r="K27" i="4"/>
  <c r="O27" i="4" s="1"/>
  <c r="Q27" i="4" s="1"/>
  <c r="K28" i="4"/>
  <c r="O28" i="4" s="1"/>
  <c r="K29" i="4"/>
  <c r="O29" i="4" s="1"/>
  <c r="Q29" i="4" s="1"/>
  <c r="K30" i="4"/>
  <c r="O30" i="4" s="1"/>
  <c r="Q30" i="4" s="1"/>
  <c r="K31" i="4"/>
  <c r="O31" i="4" s="1"/>
  <c r="Q31" i="4" s="1"/>
  <c r="K32" i="4"/>
  <c r="O32" i="4" s="1"/>
  <c r="K33" i="4"/>
  <c r="O33" i="4" s="1"/>
  <c r="Q33" i="4" s="1"/>
  <c r="K34" i="4"/>
  <c r="O34" i="4" s="1"/>
  <c r="Q34" i="4" s="1"/>
  <c r="K35" i="4"/>
  <c r="O35" i="4" s="1"/>
  <c r="Q35" i="4" s="1"/>
  <c r="K36" i="4"/>
  <c r="O36" i="4" s="1"/>
  <c r="K37" i="4"/>
  <c r="O37" i="4" s="1"/>
  <c r="Q37" i="4" s="1"/>
  <c r="K38" i="4"/>
  <c r="O38" i="4" s="1"/>
  <c r="Q38" i="4" s="1"/>
  <c r="K39" i="4"/>
  <c r="O39" i="4" s="1"/>
  <c r="Q39" i="4" s="1"/>
  <c r="K40" i="4"/>
  <c r="O40" i="4" s="1"/>
  <c r="K41" i="4"/>
  <c r="O41" i="4" s="1"/>
  <c r="Q41" i="4" s="1"/>
  <c r="K42" i="4"/>
  <c r="O42" i="4" s="1"/>
  <c r="Q42" i="4" s="1"/>
  <c r="K43" i="4"/>
  <c r="O43" i="4" s="1"/>
  <c r="Q43" i="4" s="1"/>
  <c r="K44" i="4"/>
  <c r="O44" i="4" s="1"/>
  <c r="K45" i="4"/>
  <c r="O45" i="4" s="1"/>
  <c r="Q45" i="4" s="1"/>
  <c r="K46" i="4"/>
  <c r="O46" i="4" s="1"/>
  <c r="Q46" i="4" s="1"/>
  <c r="K47" i="4"/>
  <c r="O47" i="4" s="1"/>
  <c r="Q47" i="4" s="1"/>
  <c r="K48" i="4"/>
  <c r="O48" i="4" s="1"/>
  <c r="K49" i="4"/>
  <c r="O49" i="4" s="1"/>
  <c r="K2" i="4"/>
  <c r="O2" i="4" s="1"/>
  <c r="Q2" i="4" s="1"/>
  <c r="R2" i="4" l="1"/>
  <c r="Q10" i="4"/>
  <c r="R10" i="4" s="1"/>
  <c r="Q14" i="4"/>
  <c r="R14" i="4" s="1"/>
  <c r="Q6" i="4"/>
  <c r="R6" i="4" s="1"/>
  <c r="Q17" i="4"/>
  <c r="R17" i="4" s="1"/>
  <c r="Q13" i="4"/>
  <c r="R13" i="4" s="1"/>
  <c r="Q9" i="4"/>
  <c r="R9" i="4" s="1"/>
  <c r="Q5" i="4"/>
  <c r="R5" i="4" s="1"/>
  <c r="Q16" i="4"/>
  <c r="R16" i="4" s="1"/>
  <c r="Q12" i="4"/>
  <c r="R12" i="4" s="1"/>
  <c r="Q8" i="4"/>
  <c r="R8" i="4" s="1"/>
  <c r="Q4" i="4"/>
  <c r="R4" i="4" s="1"/>
  <c r="Q15" i="4"/>
  <c r="R15" i="4" s="1"/>
  <c r="Q11" i="4"/>
  <c r="R11" i="4" s="1"/>
  <c r="Q7" i="4"/>
  <c r="R7" i="4" s="1"/>
  <c r="Q3" i="4"/>
  <c r="R3" i="4" s="1"/>
  <c r="T32" i="4"/>
  <c r="R45" i="4"/>
  <c r="R41" i="4"/>
  <c r="R37" i="4"/>
  <c r="R33" i="4"/>
  <c r="R29" i="4"/>
  <c r="R25" i="4"/>
  <c r="U32" i="4"/>
  <c r="R21" i="4"/>
  <c r="R40" i="4"/>
  <c r="R47" i="4"/>
  <c r="R43" i="4"/>
  <c r="R39" i="4"/>
  <c r="R35" i="4"/>
  <c r="R31" i="4"/>
  <c r="R27" i="4"/>
  <c r="R23" i="4"/>
  <c r="R19" i="4"/>
  <c r="Q49" i="4"/>
  <c r="R49" i="4" s="1"/>
  <c r="Q48" i="4"/>
  <c r="R48" i="4" s="1"/>
  <c r="Q44" i="4"/>
  <c r="R44" i="4" s="1"/>
  <c r="Q40" i="4"/>
  <c r="Q36" i="4"/>
  <c r="R36" i="4" s="1"/>
  <c r="Q32" i="4"/>
  <c r="R32" i="4" s="1"/>
  <c r="Q28" i="4"/>
  <c r="R28" i="4" s="1"/>
  <c r="Q24" i="4"/>
  <c r="Q20" i="4"/>
  <c r="R20" i="4" s="1"/>
  <c r="R46" i="4"/>
  <c r="R42" i="4"/>
  <c r="R38" i="4"/>
  <c r="R34" i="4"/>
  <c r="R30" i="4"/>
  <c r="R26" i="4"/>
  <c r="R22" i="4"/>
  <c r="R18" i="4"/>
  <c r="D39" i="3"/>
  <c r="H39" i="3" s="1"/>
  <c r="L11" i="3"/>
  <c r="T28" i="3"/>
  <c r="N27" i="3"/>
  <c r="T27" i="3" s="1"/>
  <c r="N26" i="3"/>
  <c r="T26" i="3" s="1"/>
  <c r="N25" i="3"/>
  <c r="T25" i="3" s="1"/>
  <c r="N24" i="3"/>
  <c r="T24" i="3" s="1"/>
  <c r="N23" i="3"/>
  <c r="T23" i="3" s="1"/>
  <c r="N22" i="3"/>
  <c r="T22" i="3" s="1"/>
  <c r="N21" i="3"/>
  <c r="T21" i="3" s="1"/>
  <c r="N20" i="3"/>
  <c r="T20" i="3" s="1"/>
  <c r="N19" i="3"/>
  <c r="T19" i="3" s="1"/>
  <c r="N18" i="3"/>
  <c r="T18" i="3" s="1"/>
  <c r="N17" i="3"/>
  <c r="T17" i="3" s="1"/>
  <c r="N16" i="3"/>
  <c r="T16" i="3" s="1"/>
  <c r="N15" i="3"/>
  <c r="T15" i="3" s="1"/>
  <c r="N14" i="3"/>
  <c r="T14" i="3" s="1"/>
  <c r="N13" i="3"/>
  <c r="T13" i="3" s="1"/>
  <c r="N12" i="3"/>
  <c r="T12" i="3" s="1"/>
  <c r="N11" i="3"/>
  <c r="T11" i="3" s="1"/>
  <c r="N10" i="3"/>
  <c r="T10" i="3" s="1"/>
  <c r="N9" i="3"/>
  <c r="T9" i="3" s="1"/>
  <c r="N8" i="3"/>
  <c r="T8" i="3" s="1"/>
  <c r="N7" i="3"/>
  <c r="T7" i="3" s="1"/>
  <c r="N6" i="3"/>
  <c r="T6" i="3" s="1"/>
  <c r="N5" i="3"/>
  <c r="T5" i="3" s="1"/>
  <c r="N4" i="3"/>
  <c r="T4" i="3" s="1"/>
  <c r="N3" i="3"/>
  <c r="T3" i="3" s="1"/>
  <c r="I5" i="3"/>
  <c r="I7" i="3"/>
  <c r="I13" i="3"/>
  <c r="I15" i="3"/>
  <c r="I21" i="3"/>
  <c r="I23" i="3"/>
  <c r="I29" i="3"/>
  <c r="I31" i="3"/>
  <c r="I34" i="3"/>
  <c r="D34" i="3"/>
  <c r="G34" i="3" s="1"/>
  <c r="C4" i="3"/>
  <c r="I4" i="3" s="1"/>
  <c r="C5" i="3"/>
  <c r="C6" i="3"/>
  <c r="I6" i="3" s="1"/>
  <c r="C7" i="3"/>
  <c r="D7" i="3" s="1"/>
  <c r="G7" i="3" s="1"/>
  <c r="C8" i="3"/>
  <c r="I8" i="3" s="1"/>
  <c r="C9" i="3"/>
  <c r="C10" i="3"/>
  <c r="I10" i="3" s="1"/>
  <c r="C11" i="3"/>
  <c r="D11" i="3" s="1"/>
  <c r="G11" i="3" s="1"/>
  <c r="C12" i="3"/>
  <c r="D12" i="3" s="1"/>
  <c r="G12" i="3" s="1"/>
  <c r="C13" i="3"/>
  <c r="C14" i="3"/>
  <c r="I14" i="3" s="1"/>
  <c r="C15" i="3"/>
  <c r="D15" i="3" s="1"/>
  <c r="G15" i="3" s="1"/>
  <c r="C16" i="3"/>
  <c r="I16" i="3" s="1"/>
  <c r="C17" i="3"/>
  <c r="C18" i="3"/>
  <c r="I18" i="3" s="1"/>
  <c r="C19" i="3"/>
  <c r="D19" i="3" s="1"/>
  <c r="G19" i="3" s="1"/>
  <c r="C20" i="3"/>
  <c r="I20" i="3" s="1"/>
  <c r="C21" i="3"/>
  <c r="C22" i="3"/>
  <c r="I22" i="3" s="1"/>
  <c r="C23" i="3"/>
  <c r="D23" i="3" s="1"/>
  <c r="G23" i="3" s="1"/>
  <c r="C24" i="3"/>
  <c r="D24" i="3" s="1"/>
  <c r="G24" i="3" s="1"/>
  <c r="C25" i="3"/>
  <c r="C26" i="3"/>
  <c r="I26" i="3" s="1"/>
  <c r="C27" i="3"/>
  <c r="D27" i="3" s="1"/>
  <c r="G27" i="3" s="1"/>
  <c r="C28" i="3"/>
  <c r="I28" i="3" s="1"/>
  <c r="C29" i="3"/>
  <c r="C30" i="3"/>
  <c r="I30" i="3" s="1"/>
  <c r="C31" i="3"/>
  <c r="D31" i="3" s="1"/>
  <c r="G31" i="3" s="1"/>
  <c r="C32" i="3"/>
  <c r="I32" i="3" s="1"/>
  <c r="C33" i="3"/>
  <c r="C3" i="3"/>
  <c r="D3" i="3" s="1"/>
  <c r="G3" i="3" s="1"/>
  <c r="H31" i="2"/>
  <c r="H29" i="2"/>
  <c r="H27" i="2"/>
  <c r="I27" i="3" l="1"/>
  <c r="I19" i="3"/>
  <c r="I11" i="3"/>
  <c r="T30" i="3"/>
  <c r="T31" i="3" s="1"/>
  <c r="D33" i="3"/>
  <c r="G33" i="3" s="1"/>
  <c r="D29" i="3"/>
  <c r="G29" i="3" s="1"/>
  <c r="D25" i="3"/>
  <c r="G25" i="3" s="1"/>
  <c r="D21" i="3"/>
  <c r="G21" i="3" s="1"/>
  <c r="D17" i="3"/>
  <c r="G17" i="3" s="1"/>
  <c r="D13" i="3"/>
  <c r="G13" i="3" s="1"/>
  <c r="D9" i="3"/>
  <c r="G9" i="3" s="1"/>
  <c r="D5" i="3"/>
  <c r="G5" i="3" s="1"/>
  <c r="I33" i="3"/>
  <c r="I25" i="3"/>
  <c r="I17" i="3"/>
  <c r="I9" i="3"/>
  <c r="V32" i="4"/>
  <c r="R24" i="4"/>
  <c r="S32" i="4"/>
  <c r="D30" i="3"/>
  <c r="G30" i="3" s="1"/>
  <c r="D26" i="3"/>
  <c r="G26" i="3" s="1"/>
  <c r="D22" i="3"/>
  <c r="G22" i="3" s="1"/>
  <c r="D18" i="3"/>
  <c r="G18" i="3" s="1"/>
  <c r="D14" i="3"/>
  <c r="G14" i="3" s="1"/>
  <c r="D10" i="3"/>
  <c r="G10" i="3" s="1"/>
  <c r="D6" i="3"/>
  <c r="G6" i="3" s="1"/>
  <c r="I3" i="3"/>
  <c r="D32" i="3"/>
  <c r="G32" i="3" s="1"/>
  <c r="D28" i="3"/>
  <c r="G28" i="3" s="1"/>
  <c r="D20" i="3"/>
  <c r="G20" i="3" s="1"/>
  <c r="D16" i="3"/>
  <c r="G16" i="3" s="1"/>
  <c r="D8" i="3"/>
  <c r="G8" i="3" s="1"/>
  <c r="D4" i="3"/>
  <c r="G4" i="3" s="1"/>
  <c r="I24" i="3"/>
  <c r="I12" i="3"/>
  <c r="O28" i="3"/>
  <c r="R28" i="3" s="1"/>
  <c r="O3" i="3"/>
  <c r="R3" i="3" s="1"/>
  <c r="O5" i="3"/>
  <c r="R5" i="3" s="1"/>
  <c r="O7" i="3"/>
  <c r="R7" i="3" s="1"/>
  <c r="O9" i="3"/>
  <c r="R9" i="3" s="1"/>
  <c r="O11" i="3"/>
  <c r="R11" i="3" s="1"/>
  <c r="O13" i="3"/>
  <c r="R13" i="3" s="1"/>
  <c r="O16" i="3"/>
  <c r="R16" i="3" s="1"/>
  <c r="O27" i="3"/>
  <c r="R27" i="3" s="1"/>
  <c r="O4" i="3"/>
  <c r="R4" i="3" s="1"/>
  <c r="O6" i="3"/>
  <c r="R6" i="3" s="1"/>
  <c r="O8" i="3"/>
  <c r="R8" i="3" s="1"/>
  <c r="O10" i="3"/>
  <c r="R10" i="3" s="1"/>
  <c r="O12" i="3"/>
  <c r="R12" i="3" s="1"/>
  <c r="O14" i="3"/>
  <c r="R14" i="3" s="1"/>
  <c r="O15" i="3"/>
  <c r="R15" i="3" s="1"/>
  <c r="O17" i="3"/>
  <c r="R17" i="3" s="1"/>
  <c r="O18" i="3"/>
  <c r="R18" i="3" s="1"/>
  <c r="O19" i="3"/>
  <c r="R19" i="3" s="1"/>
  <c r="O20" i="3"/>
  <c r="R20" i="3" s="1"/>
  <c r="O21" i="3"/>
  <c r="R21" i="3" s="1"/>
  <c r="O22" i="3"/>
  <c r="R22" i="3" s="1"/>
  <c r="O23" i="3"/>
  <c r="R23" i="3" s="1"/>
  <c r="O24" i="3"/>
  <c r="R24" i="3" s="1"/>
  <c r="O25" i="3"/>
  <c r="R25" i="3" s="1"/>
  <c r="O26" i="3"/>
  <c r="R26" i="3" s="1"/>
  <c r="M2" i="2"/>
  <c r="L2" i="2" s="1"/>
  <c r="L3" i="2" l="1"/>
  <c r="H35" i="3"/>
  <c r="H36" i="3" s="1"/>
  <c r="R30" i="3"/>
  <c r="R31" i="3" s="1"/>
  <c r="N37" i="3" s="1"/>
  <c r="O37" i="3" s="1"/>
  <c r="J35" i="3"/>
  <c r="J36" i="3" s="1"/>
  <c r="K36" i="3" s="1"/>
  <c r="E14" i="2"/>
  <c r="F14" i="2" s="1"/>
  <c r="E13" i="2"/>
  <c r="F13" i="2" s="1"/>
  <c r="E12" i="2"/>
  <c r="F12" i="2" s="1"/>
  <c r="E11" i="2"/>
  <c r="F11" i="2" s="1"/>
  <c r="E10" i="2"/>
  <c r="F10" i="2" s="1"/>
  <c r="E9" i="2"/>
  <c r="F9" i="2" s="1"/>
  <c r="E8" i="2"/>
  <c r="F8" i="2" s="1"/>
  <c r="E7" i="2"/>
  <c r="F7" i="2" s="1"/>
  <c r="E6" i="2"/>
  <c r="F6" i="2" s="1"/>
  <c r="E5" i="2"/>
  <c r="F5" i="2" s="1"/>
  <c r="E4" i="2"/>
  <c r="F4" i="2" s="1"/>
  <c r="E3" i="2"/>
  <c r="F3" i="2" s="1"/>
  <c r="E2" i="2"/>
  <c r="F2" i="2" s="1"/>
  <c r="CV2" i="1" l="1"/>
  <c r="CW2" i="1"/>
  <c r="CX2" i="1"/>
  <c r="CY2" i="1"/>
  <c r="CZ2" i="1"/>
  <c r="DA2" i="1"/>
  <c r="DB2" i="1"/>
  <c r="DC2" i="1"/>
  <c r="DD2" i="1"/>
  <c r="DE2" i="1"/>
  <c r="DF2" i="1"/>
  <c r="DG2" i="1"/>
  <c r="DH2" i="1"/>
  <c r="DI2" i="1"/>
  <c r="DJ2" i="1"/>
  <c r="DK2" i="1"/>
  <c r="DL2" i="1"/>
  <c r="DM2" i="1"/>
  <c r="DN2" i="1"/>
  <c r="DO2" i="1"/>
  <c r="DP2" i="1"/>
  <c r="DQ2" i="1"/>
  <c r="DR2" i="1"/>
  <c r="DS2" i="1"/>
  <c r="DT2" i="1"/>
  <c r="DU2" i="1"/>
  <c r="DV2" i="1"/>
  <c r="DW2" i="1"/>
  <c r="DX2" i="1"/>
  <c r="DY2" i="1"/>
  <c r="DZ2" i="1"/>
  <c r="EA2" i="1"/>
  <c r="EB2" i="1"/>
  <c r="EC2" i="1"/>
  <c r="ED2" i="1"/>
  <c r="EE2" i="1"/>
  <c r="EF2" i="1"/>
  <c r="EG2" i="1"/>
  <c r="EH2" i="1"/>
  <c r="EI2" i="1"/>
  <c r="EJ2" i="1"/>
  <c r="EK2" i="1"/>
  <c r="EL2" i="1"/>
  <c r="EM2" i="1"/>
  <c r="EN2" i="1"/>
  <c r="EO2" i="1"/>
  <c r="EP2" i="1"/>
  <c r="EQ2" i="1"/>
  <c r="ER2" i="1"/>
  <c r="ES2" i="1"/>
  <c r="ET2" i="1"/>
  <c r="EU2" i="1"/>
  <c r="EV2" i="1"/>
  <c r="EW2" i="1"/>
  <c r="EX2" i="1"/>
  <c r="EY2" i="1"/>
  <c r="EZ2" i="1"/>
  <c r="FA2" i="1"/>
  <c r="FB2" i="1"/>
  <c r="FC2" i="1"/>
  <c r="FD2" i="1"/>
  <c r="FE2" i="1"/>
  <c r="FF2" i="1"/>
  <c r="FG2" i="1"/>
  <c r="FH2" i="1"/>
  <c r="FI2" i="1"/>
  <c r="FJ2" i="1"/>
  <c r="FK2" i="1"/>
  <c r="FL2" i="1"/>
  <c r="FM2" i="1"/>
  <c r="FN2" i="1"/>
  <c r="FO2" i="1"/>
  <c r="FP2" i="1"/>
  <c r="FQ2" i="1"/>
  <c r="FR2" i="1"/>
  <c r="FS2" i="1"/>
  <c r="FT2" i="1"/>
  <c r="FU2" i="1"/>
  <c r="FV2" i="1"/>
  <c r="FW2" i="1"/>
  <c r="FX2" i="1"/>
  <c r="FY2" i="1"/>
  <c r="FZ2" i="1"/>
  <c r="GA2" i="1"/>
  <c r="GB2" i="1"/>
  <c r="GC2" i="1"/>
  <c r="GD2" i="1"/>
  <c r="GE2" i="1"/>
  <c r="GF2" i="1"/>
  <c r="GG2" i="1"/>
  <c r="GH2" i="1"/>
  <c r="GI2" i="1"/>
  <c r="GJ2" i="1"/>
  <c r="GK2" i="1"/>
  <c r="GL2" i="1"/>
  <c r="GM2" i="1"/>
  <c r="CV3" i="1"/>
  <c r="CW3" i="1"/>
  <c r="CX3" i="1"/>
  <c r="CY3" i="1"/>
  <c r="CZ3" i="1"/>
  <c r="DA3" i="1"/>
  <c r="DB3" i="1"/>
  <c r="DC3" i="1"/>
  <c r="DD3" i="1"/>
  <c r="DE3" i="1"/>
  <c r="DF3" i="1"/>
  <c r="DG3" i="1"/>
  <c r="DH3" i="1"/>
  <c r="DI3" i="1"/>
  <c r="DJ3" i="1"/>
  <c r="DK3" i="1"/>
  <c r="DL3" i="1"/>
  <c r="DM3" i="1"/>
  <c r="DN3" i="1"/>
  <c r="DO3" i="1"/>
  <c r="DP3" i="1"/>
  <c r="DQ3" i="1"/>
  <c r="DR3" i="1"/>
  <c r="DS3" i="1"/>
  <c r="DT3" i="1"/>
  <c r="DU3" i="1"/>
  <c r="DV3" i="1"/>
  <c r="DW3" i="1"/>
  <c r="DX3" i="1"/>
  <c r="DY3" i="1"/>
  <c r="DZ3" i="1"/>
  <c r="EA3" i="1"/>
  <c r="EB3" i="1"/>
  <c r="EC3" i="1"/>
  <c r="ED3" i="1"/>
  <c r="EE3" i="1"/>
  <c r="EF3" i="1"/>
  <c r="EG3" i="1"/>
  <c r="EH3" i="1"/>
  <c r="EI3" i="1"/>
  <c r="EJ3" i="1"/>
  <c r="EK3" i="1"/>
  <c r="EL3" i="1"/>
  <c r="EM3" i="1"/>
  <c r="EN3" i="1"/>
  <c r="EO3" i="1"/>
  <c r="EP3" i="1"/>
  <c r="EQ3" i="1"/>
  <c r="ER3" i="1"/>
  <c r="ES3" i="1"/>
  <c r="ET3" i="1"/>
  <c r="EU3" i="1"/>
  <c r="EV3" i="1"/>
  <c r="EW3" i="1"/>
  <c r="EX3" i="1"/>
  <c r="EY3" i="1"/>
  <c r="EZ3" i="1"/>
  <c r="FA3" i="1"/>
  <c r="FB3" i="1"/>
  <c r="FC3" i="1"/>
  <c r="FD3" i="1"/>
  <c r="FE3" i="1"/>
  <c r="FF3" i="1"/>
  <c r="FG3" i="1"/>
  <c r="FH3" i="1"/>
  <c r="FI3" i="1"/>
  <c r="FJ3" i="1"/>
  <c r="FK3" i="1"/>
  <c r="FL3" i="1"/>
  <c r="FM3" i="1"/>
  <c r="FN3" i="1"/>
  <c r="FO3" i="1"/>
  <c r="FP3" i="1"/>
  <c r="FQ3" i="1"/>
  <c r="FR3" i="1"/>
  <c r="FS3" i="1"/>
  <c r="FT3" i="1"/>
  <c r="FU3" i="1"/>
  <c r="FV3" i="1"/>
  <c r="FW3" i="1"/>
  <c r="FX3" i="1"/>
  <c r="FY3" i="1"/>
  <c r="FZ3" i="1"/>
  <c r="GA3" i="1"/>
  <c r="GB3" i="1"/>
  <c r="GC3" i="1"/>
  <c r="GD3" i="1"/>
  <c r="GE3" i="1"/>
  <c r="GF3" i="1"/>
  <c r="GG3" i="1"/>
  <c r="GH3" i="1"/>
  <c r="GI3" i="1"/>
  <c r="GJ3" i="1"/>
  <c r="GK3" i="1"/>
  <c r="GL3" i="1"/>
  <c r="GM3" i="1"/>
  <c r="CV4" i="1"/>
  <c r="CW4" i="1"/>
  <c r="CX4" i="1"/>
  <c r="CY4" i="1"/>
  <c r="CZ4" i="1"/>
  <c r="DA4" i="1"/>
  <c r="DB4" i="1"/>
  <c r="DC4" i="1"/>
  <c r="DD4" i="1"/>
  <c r="DE4" i="1"/>
  <c r="DF4" i="1"/>
  <c r="DG4" i="1"/>
  <c r="DH4" i="1"/>
  <c r="DI4" i="1"/>
  <c r="DJ4" i="1"/>
  <c r="DK4" i="1"/>
  <c r="DL4" i="1"/>
  <c r="DM4" i="1"/>
  <c r="DN4" i="1"/>
  <c r="DO4" i="1"/>
  <c r="DP4" i="1"/>
  <c r="DQ4" i="1"/>
  <c r="DR4" i="1"/>
  <c r="DS4" i="1"/>
  <c r="DT4" i="1"/>
  <c r="DU4" i="1"/>
  <c r="DV4" i="1"/>
  <c r="DW4" i="1"/>
  <c r="DX4" i="1"/>
  <c r="DY4" i="1"/>
  <c r="DZ4" i="1"/>
  <c r="EA4" i="1"/>
  <c r="EB4" i="1"/>
  <c r="EC4" i="1"/>
  <c r="ED4" i="1"/>
  <c r="EE4" i="1"/>
  <c r="EF4" i="1"/>
  <c r="EG4" i="1"/>
  <c r="EH4" i="1"/>
  <c r="EI4" i="1"/>
  <c r="EJ4" i="1"/>
  <c r="EK4" i="1"/>
  <c r="EL4" i="1"/>
  <c r="EM4" i="1"/>
  <c r="EN4" i="1"/>
  <c r="EO4" i="1"/>
  <c r="EP4" i="1"/>
  <c r="EQ4" i="1"/>
  <c r="ER4" i="1"/>
  <c r="ES4" i="1"/>
  <c r="ET4" i="1"/>
  <c r="EU4" i="1"/>
  <c r="EV4" i="1"/>
  <c r="EW4" i="1"/>
  <c r="EX4" i="1"/>
  <c r="EY4" i="1"/>
  <c r="EZ4" i="1"/>
  <c r="FA4" i="1"/>
  <c r="FB4" i="1"/>
  <c r="FC4" i="1"/>
  <c r="FD4" i="1"/>
  <c r="FE4" i="1"/>
  <c r="FF4" i="1"/>
  <c r="FG4" i="1"/>
  <c r="FH4" i="1"/>
  <c r="FI4" i="1"/>
  <c r="FJ4" i="1"/>
  <c r="FK4" i="1"/>
  <c r="FL4" i="1"/>
  <c r="FM4" i="1"/>
  <c r="FN4" i="1"/>
  <c r="FO4" i="1"/>
  <c r="FP4" i="1"/>
  <c r="FQ4" i="1"/>
  <c r="FR4" i="1"/>
  <c r="FS4" i="1"/>
  <c r="FT4" i="1"/>
  <c r="FU4" i="1"/>
  <c r="FV4" i="1"/>
  <c r="FW4" i="1"/>
  <c r="FX4" i="1"/>
  <c r="FY4" i="1"/>
  <c r="FZ4" i="1"/>
  <c r="GA4" i="1"/>
  <c r="GB4" i="1"/>
  <c r="GC4" i="1"/>
  <c r="GD4" i="1"/>
  <c r="GE4" i="1"/>
  <c r="GF4" i="1"/>
  <c r="GG4" i="1"/>
  <c r="GH4" i="1"/>
  <c r="GI4" i="1"/>
  <c r="GJ4" i="1"/>
  <c r="GK4" i="1"/>
  <c r="GL4" i="1"/>
  <c r="GM4" i="1"/>
  <c r="CV5" i="1"/>
  <c r="CW5" i="1"/>
  <c r="CX5" i="1"/>
  <c r="CY5" i="1"/>
  <c r="CZ5" i="1"/>
  <c r="DA5" i="1"/>
  <c r="DB5" i="1"/>
  <c r="DC5" i="1"/>
  <c r="DD5" i="1"/>
  <c r="DE5" i="1"/>
  <c r="DF5" i="1"/>
  <c r="DG5" i="1"/>
  <c r="DH5" i="1"/>
  <c r="DI5" i="1"/>
  <c r="DJ5" i="1"/>
  <c r="DK5" i="1"/>
  <c r="DL5" i="1"/>
  <c r="DM5" i="1"/>
  <c r="DN5" i="1"/>
  <c r="DO5" i="1"/>
  <c r="DP5" i="1"/>
  <c r="DQ5" i="1"/>
  <c r="DR5" i="1"/>
  <c r="DS5" i="1"/>
  <c r="DT5" i="1"/>
  <c r="DU5" i="1"/>
  <c r="DV5" i="1"/>
  <c r="DW5" i="1"/>
  <c r="DX5" i="1"/>
  <c r="DY5" i="1"/>
  <c r="DZ5" i="1"/>
  <c r="EA5" i="1"/>
  <c r="EB5" i="1"/>
  <c r="EC5" i="1"/>
  <c r="ED5" i="1"/>
  <c r="EE5" i="1"/>
  <c r="EF5" i="1"/>
  <c r="EG5" i="1"/>
  <c r="EH5" i="1"/>
  <c r="EI5" i="1"/>
  <c r="EJ5" i="1"/>
  <c r="EK5" i="1"/>
  <c r="EL5" i="1"/>
  <c r="EM5" i="1"/>
  <c r="EN5" i="1"/>
  <c r="EO5" i="1"/>
  <c r="EP5" i="1"/>
  <c r="EQ5" i="1"/>
  <c r="ER5" i="1"/>
  <c r="ES5" i="1"/>
  <c r="ET5" i="1"/>
  <c r="EU5" i="1"/>
  <c r="EV5" i="1"/>
  <c r="EW5" i="1"/>
  <c r="EX5" i="1"/>
  <c r="EY5" i="1"/>
  <c r="EZ5" i="1"/>
  <c r="FA5" i="1"/>
  <c r="FB5" i="1"/>
  <c r="FC5" i="1"/>
  <c r="FD5" i="1"/>
  <c r="FE5" i="1"/>
  <c r="FF5" i="1"/>
  <c r="FG5" i="1"/>
  <c r="FH5" i="1"/>
  <c r="FI5" i="1"/>
  <c r="FJ5" i="1"/>
  <c r="FK5" i="1"/>
  <c r="FL5" i="1"/>
  <c r="FM5" i="1"/>
  <c r="FN5" i="1"/>
  <c r="FO5" i="1"/>
  <c r="FP5" i="1"/>
  <c r="FQ5" i="1"/>
  <c r="FR5" i="1"/>
  <c r="FS5" i="1"/>
  <c r="FT5" i="1"/>
  <c r="FU5" i="1"/>
  <c r="FV5" i="1"/>
  <c r="FW5" i="1"/>
  <c r="FX5" i="1"/>
  <c r="FY5" i="1"/>
  <c r="FZ5" i="1"/>
  <c r="GA5" i="1"/>
  <c r="GB5" i="1"/>
  <c r="GC5" i="1"/>
  <c r="GD5" i="1"/>
  <c r="GE5" i="1"/>
  <c r="GF5" i="1"/>
  <c r="GG5" i="1"/>
  <c r="GH5" i="1"/>
  <c r="GI5" i="1"/>
  <c r="GJ5" i="1"/>
  <c r="GK5" i="1"/>
  <c r="GL5" i="1"/>
  <c r="GM5" i="1"/>
  <c r="GM12" i="1" l="1"/>
  <c r="GI12" i="1"/>
  <c r="GE12" i="1"/>
  <c r="GA12" i="1"/>
  <c r="FW12" i="1"/>
  <c r="FS12" i="1"/>
  <c r="FO12" i="1"/>
  <c r="FK12" i="1"/>
  <c r="FG12" i="1"/>
  <c r="FC12" i="1"/>
  <c r="EY12" i="1"/>
  <c r="EU12" i="1"/>
  <c r="EQ12" i="1"/>
  <c r="EM12" i="1"/>
  <c r="EI12" i="1"/>
  <c r="EE12" i="1"/>
  <c r="EA12" i="1"/>
  <c r="DW12" i="1"/>
  <c r="DS12" i="1"/>
  <c r="DO12" i="1"/>
  <c r="DK12" i="1"/>
  <c r="DG12" i="1"/>
  <c r="DC12" i="1"/>
  <c r="CY12" i="1"/>
  <c r="GL12" i="1"/>
  <c r="GH12" i="1"/>
  <c r="GD12" i="1"/>
  <c r="FZ12" i="1"/>
  <c r="FV12" i="1"/>
  <c r="FR12" i="1"/>
  <c r="FN12" i="1"/>
  <c r="FJ12" i="1"/>
  <c r="FF12" i="1"/>
  <c r="FB12" i="1"/>
  <c r="EX12" i="1"/>
  <c r="ET12" i="1"/>
  <c r="EP12" i="1"/>
  <c r="EL12" i="1"/>
  <c r="EH12" i="1"/>
  <c r="ED12" i="1"/>
  <c r="DZ12" i="1"/>
  <c r="DV12" i="1"/>
  <c r="DR12" i="1"/>
  <c r="DN12" i="1"/>
  <c r="DJ12" i="1"/>
  <c r="DF12" i="1"/>
  <c r="DB12" i="1"/>
  <c r="CX12" i="1"/>
  <c r="GK12" i="1"/>
  <c r="GG12" i="1"/>
  <c r="GC12" i="1"/>
  <c r="FY12" i="1"/>
  <c r="FU12" i="1"/>
  <c r="FQ12" i="1"/>
  <c r="FM12" i="1"/>
  <c r="FI12" i="1"/>
  <c r="FE12" i="1"/>
  <c r="FA12" i="1"/>
  <c r="EW12" i="1"/>
  <c r="ES12" i="1"/>
  <c r="EO12" i="1"/>
  <c r="EK12" i="1"/>
  <c r="EG12" i="1"/>
  <c r="EC12" i="1"/>
  <c r="DY12" i="1"/>
  <c r="DU12" i="1"/>
  <c r="DQ12" i="1"/>
  <c r="DM12" i="1"/>
  <c r="DI12" i="1"/>
  <c r="DE12" i="1"/>
  <c r="DA12" i="1"/>
  <c r="CW12" i="1"/>
  <c r="GJ12" i="1"/>
  <c r="GF12" i="1"/>
  <c r="GB12" i="1"/>
  <c r="FX12" i="1"/>
  <c r="FT12" i="1"/>
  <c r="FP12" i="1"/>
  <c r="FL12" i="1"/>
  <c r="FH12" i="1"/>
  <c r="FD12" i="1"/>
  <c r="EZ12" i="1"/>
  <c r="EV12" i="1"/>
  <c r="ER12" i="1"/>
  <c r="EN12" i="1"/>
  <c r="EJ12" i="1"/>
  <c r="EF12" i="1"/>
  <c r="EB12" i="1"/>
  <c r="DX12" i="1"/>
  <c r="DT12" i="1"/>
  <c r="DP12" i="1"/>
  <c r="DL12" i="1"/>
  <c r="DH12" i="1"/>
  <c r="DD12" i="1"/>
  <c r="CZ12" i="1"/>
  <c r="CV12" i="1"/>
  <c r="GN5" i="1"/>
  <c r="GN2" i="1"/>
  <c r="GN4" i="1"/>
  <c r="GN3" i="1"/>
</calcChain>
</file>

<file path=xl/sharedStrings.xml><?xml version="1.0" encoding="utf-8"?>
<sst xmlns="http://schemas.openxmlformats.org/spreadsheetml/2006/main" count="2035" uniqueCount="157">
  <si>
    <t>#CHROM</t>
  </si>
  <si>
    <t>POS</t>
  </si>
  <si>
    <t>REF</t>
  </si>
  <si>
    <t>LT_Heat_1</t>
  </si>
  <si>
    <t>LT_Heat_10</t>
  </si>
  <si>
    <t>LT_Heat_11</t>
  </si>
  <si>
    <t>LT_Heat_12</t>
  </si>
  <si>
    <t>LT_Heat_13</t>
  </si>
  <si>
    <t>LT_Heat_14</t>
  </si>
  <si>
    <t>LT_Heat_15</t>
  </si>
  <si>
    <t>LT_Heat_16</t>
  </si>
  <si>
    <t>LT_Heat_17</t>
  </si>
  <si>
    <t>LT_Heat_18</t>
  </si>
  <si>
    <t>LT_Heat_19</t>
  </si>
  <si>
    <t>LT_Heat_2</t>
  </si>
  <si>
    <t>LT_Heat_20</t>
  </si>
  <si>
    <t>LT_Heat_21</t>
  </si>
  <si>
    <t>LT_Heat_22</t>
  </si>
  <si>
    <t>LT_Heat_23</t>
  </si>
  <si>
    <t>LT_Heat_24</t>
  </si>
  <si>
    <t>LT_Heat_25</t>
  </si>
  <si>
    <t>LT_Heat_26</t>
  </si>
  <si>
    <t>LT_Heat_27</t>
  </si>
  <si>
    <t>LT_Heat_28</t>
  </si>
  <si>
    <t>LT_Heat_29</t>
  </si>
  <si>
    <t>LT_Heat_3</t>
  </si>
  <si>
    <t>LT_Heat_30</t>
  </si>
  <si>
    <t>LT_Heat_31</t>
  </si>
  <si>
    <t>LT_Heat_32</t>
  </si>
  <si>
    <t>LT_Heat_33</t>
  </si>
  <si>
    <t>LT_Heat_34</t>
  </si>
  <si>
    <t>LT_Heat_35</t>
  </si>
  <si>
    <t>LT_Heat_36</t>
  </si>
  <si>
    <t>LT_Heat_37</t>
  </si>
  <si>
    <t>LT_Heat_38</t>
  </si>
  <si>
    <t>LT_Heat_39</t>
  </si>
  <si>
    <t>LT_Heat_4</t>
  </si>
  <si>
    <t>LT_Heat_40</t>
  </si>
  <si>
    <t>LT_Heat_41</t>
  </si>
  <si>
    <t>LT_Heat_42</t>
  </si>
  <si>
    <t>LT_Heat_43</t>
  </si>
  <si>
    <t>LT_Heat_44</t>
  </si>
  <si>
    <t>LT_Heat_45</t>
  </si>
  <si>
    <t>LT_Heat_46</t>
  </si>
  <si>
    <t>LT_Heat_47</t>
  </si>
  <si>
    <t>LT_Heat_48</t>
  </si>
  <si>
    <t>LT_Heat_49</t>
  </si>
  <si>
    <t>LT_Heat_5</t>
  </si>
  <si>
    <t>LT_Heat_50</t>
  </si>
  <si>
    <t>LT_Heat_51</t>
  </si>
  <si>
    <t>LT_Heat_52</t>
  </si>
  <si>
    <t>LT_Heat_53</t>
  </si>
  <si>
    <t>LT_Heat_54</t>
  </si>
  <si>
    <t>LT_Heat_55</t>
  </si>
  <si>
    <t>LT_Heat_56</t>
  </si>
  <si>
    <t>LT_Heat_57</t>
  </si>
  <si>
    <t>LT_Heat_58</t>
  </si>
  <si>
    <t>LT_Heat_59</t>
  </si>
  <si>
    <t>LT_Heat_6</t>
  </si>
  <si>
    <t>LT_Heat_60</t>
  </si>
  <si>
    <t>LT_Heat_61</t>
  </si>
  <si>
    <t>LT_Heat_62</t>
  </si>
  <si>
    <t>LT_Heat_63</t>
  </si>
  <si>
    <t>LT_Heat_64</t>
  </si>
  <si>
    <t>LT_Heat_65</t>
  </si>
  <si>
    <t>LT_Heat_66</t>
  </si>
  <si>
    <t>LT_Heat_67</t>
  </si>
  <si>
    <t>LT_Heat_68</t>
  </si>
  <si>
    <t>LT_Heat_69</t>
  </si>
  <si>
    <t>LT_Heat_7</t>
  </si>
  <si>
    <t>LT_Heat_70</t>
  </si>
  <si>
    <t>LT_Heat_71</t>
  </si>
  <si>
    <t>LT_Heat_72</t>
  </si>
  <si>
    <t>LT_Heat_73</t>
  </si>
  <si>
    <t>LT_Heat_74</t>
  </si>
  <si>
    <t>LT_Heat_75</t>
  </si>
  <si>
    <t>LT_Heat_76</t>
  </si>
  <si>
    <t>LT_Heat_77</t>
  </si>
  <si>
    <t>LT_Heat_78</t>
  </si>
  <si>
    <t>LT_Heat_79</t>
  </si>
  <si>
    <t>LT_Heat_8</t>
  </si>
  <si>
    <t>LT_Heat_80</t>
  </si>
  <si>
    <t>LT_Heat_81</t>
  </si>
  <si>
    <t>LT_Heat_82</t>
  </si>
  <si>
    <t>LT_Heat_83</t>
  </si>
  <si>
    <t>LT_Heat_84</t>
  </si>
  <si>
    <t>LT_Heat_85</t>
  </si>
  <si>
    <t>LT_Heat_86</t>
  </si>
  <si>
    <t>LT_Heat_87</t>
  </si>
  <si>
    <t>LT_Heat_88</t>
  </si>
  <si>
    <t>LT_Heat_89</t>
  </si>
  <si>
    <t>LT_Heat_9</t>
  </si>
  <si>
    <t>LT_Heat_90</t>
  </si>
  <si>
    <t>LT_Heat_91</t>
  </si>
  <si>
    <t>LT_Heat_92</t>
  </si>
  <si>
    <t>LT_Heat_93</t>
  </si>
  <si>
    <t>LT_Heat_94</t>
  </si>
  <si>
    <t>LT_Heat_95</t>
  </si>
  <si>
    <t>LT_Heat_96</t>
  </si>
  <si>
    <t>gi|255767013|ref|NC_000964.3|</t>
  </si>
  <si>
    <t>A</t>
  </si>
  <si>
    <t>G</t>
  </si>
  <si>
    <t>C</t>
  </si>
  <si>
    <t>T</t>
  </si>
  <si>
    <t>Total</t>
  </si>
  <si>
    <t>LT_HK</t>
  </si>
  <si>
    <t>LT_MP</t>
  </si>
  <si>
    <t>ST_HK</t>
  </si>
  <si>
    <t>Bacillus mutation rate</t>
  </si>
  <si>
    <t>Generation</t>
  </si>
  <si>
    <t>Number of cells</t>
  </si>
  <si>
    <t>Mutation rate</t>
  </si>
  <si>
    <t>Nucleotides</t>
  </si>
  <si>
    <t>#of mutations in population</t>
  </si>
  <si>
    <t>Number of New Cells</t>
  </si>
  <si>
    <t>before spore</t>
  </si>
  <si>
    <t>time</t>
  </si>
  <si>
    <t>rep</t>
  </si>
  <si>
    <t>total</t>
  </si>
  <si>
    <t>spore</t>
  </si>
  <si>
    <t>total_dil</t>
  </si>
  <si>
    <t>spor_dil</t>
  </si>
  <si>
    <t>B</t>
  </si>
  <si>
    <t>D</t>
  </si>
  <si>
    <t>Time</t>
  </si>
  <si>
    <t>vegetative</t>
  </si>
  <si>
    <t>ratio</t>
  </si>
  <si>
    <t>LTS-M</t>
  </si>
  <si>
    <t>LTS-M13</t>
  </si>
  <si>
    <t>LTS-M17</t>
  </si>
  <si>
    <t>LTS-M23</t>
  </si>
  <si>
    <t>LTS-M26</t>
  </si>
  <si>
    <t>LTS-M21</t>
  </si>
  <si>
    <t>LTS-M54</t>
  </si>
  <si>
    <t>LTS-M19</t>
  </si>
  <si>
    <t>LTS-M4</t>
  </si>
  <si>
    <t>LTS-M93</t>
  </si>
  <si>
    <t>LTS-M94</t>
  </si>
  <si>
    <t>LTS-S51</t>
  </si>
  <si>
    <t>LTS-S22</t>
  </si>
  <si>
    <t>LTS-S11</t>
  </si>
  <si>
    <t>LTS-S95</t>
  </si>
  <si>
    <t>LTS-S6</t>
  </si>
  <si>
    <t>LTS-S1</t>
  </si>
  <si>
    <t>E</t>
  </si>
  <si>
    <t>F</t>
  </si>
  <si>
    <t>H</t>
  </si>
  <si>
    <t>LTS-M41</t>
  </si>
  <si>
    <t>LTS-M79</t>
  </si>
  <si>
    <t>Sample</t>
  </si>
  <si>
    <t>Treatment</t>
  </si>
  <si>
    <t>LTS-S</t>
  </si>
  <si>
    <t>SNPS</t>
  </si>
  <si>
    <t>HF_Snps</t>
  </si>
  <si>
    <t>Indels</t>
  </si>
  <si>
    <t>HF_Indel</t>
  </si>
  <si>
    <t>*possible beneficial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</si>
</sst>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6"/>
      <color rgb="FF000000"/>
      <name val="Times New Roman"/>
      <family val="1"/>
    </font>
    <font>
      <sz val="14"/>
      <color theme="1"/>
      <name val="Arial"/>
      <family val="2"/>
    </font>
    <font>
      <sz val="11"/>
      <color rgb="FF000000"/>
      <name val="Menlo"/>
      <family val="2"/>
    </font>
    <font>
      <sz val="10"/>
      <color rgb="FF000000"/>
      <name val="Arial Unicode MS"/>
      <family val="2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1" fontId="18" fillId="0" borderId="0" xfId="0" applyNumberFormat="1" applyFont="1"/>
    <xf numFmtId="0" fontId="19" fillId="0" borderId="0" xfId="0" applyFont="1"/>
    <xf numFmtId="0" fontId="20" fillId="0" borderId="0" xfId="0" applyFont="1"/>
    <xf numFmtId="17" fontId="0" fillId="0" borderId="0" xfId="0" applyNumberFormat="1"/>
    <xf numFmtId="3" fontId="20" fillId="0" borderId="0" xfId="0" applyNumberFormat="1" applyFont="1"/>
    <xf numFmtId="0" fontId="21" fillId="0" borderId="0" xfId="0" applyFont="1"/>
    <xf numFmtId="0" fontId="20" fillId="0" borderId="0" xfId="0" applyFont="1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N12"/>
  <sheetViews>
    <sheetView topLeftCell="CJ1" workbookViewId="0">
      <selection activeCell="CV2" sqref="CV2:CV3"/>
    </sheetView>
  </sheetViews>
  <sheetFormatPr baseColWidth="10" defaultRowHeight="16" x14ac:dyDescent="0.2"/>
  <sheetData>
    <row r="1" spans="1:19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3</v>
      </c>
      <c r="CW1" t="s">
        <v>4</v>
      </c>
      <c r="CX1" t="s">
        <v>5</v>
      </c>
      <c r="CY1" t="s">
        <v>6</v>
      </c>
      <c r="CZ1" t="s">
        <v>7</v>
      </c>
      <c r="DA1" t="s">
        <v>8</v>
      </c>
      <c r="DB1" t="s">
        <v>9</v>
      </c>
      <c r="DC1" t="s">
        <v>10</v>
      </c>
      <c r="DD1" t="s">
        <v>11</v>
      </c>
      <c r="DE1" t="s">
        <v>12</v>
      </c>
      <c r="DF1" t="s">
        <v>13</v>
      </c>
      <c r="DG1" t="s">
        <v>14</v>
      </c>
      <c r="DH1" t="s">
        <v>15</v>
      </c>
      <c r="DI1" t="s">
        <v>16</v>
      </c>
      <c r="DJ1" t="s">
        <v>17</v>
      </c>
      <c r="DK1" t="s">
        <v>18</v>
      </c>
      <c r="DL1" t="s">
        <v>19</v>
      </c>
      <c r="DM1" t="s">
        <v>20</v>
      </c>
      <c r="DN1" t="s">
        <v>21</v>
      </c>
      <c r="DO1" t="s">
        <v>22</v>
      </c>
      <c r="DP1" t="s">
        <v>23</v>
      </c>
      <c r="DQ1" t="s">
        <v>24</v>
      </c>
      <c r="DR1" t="s">
        <v>25</v>
      </c>
      <c r="DS1" t="s">
        <v>26</v>
      </c>
      <c r="DT1" t="s">
        <v>27</v>
      </c>
      <c r="DU1" t="s">
        <v>28</v>
      </c>
      <c r="DV1" t="s">
        <v>29</v>
      </c>
      <c r="DW1" t="s">
        <v>30</v>
      </c>
      <c r="DX1" t="s">
        <v>31</v>
      </c>
      <c r="DY1" t="s">
        <v>32</v>
      </c>
      <c r="DZ1" t="s">
        <v>33</v>
      </c>
      <c r="EA1" t="s">
        <v>34</v>
      </c>
      <c r="EB1" t="s">
        <v>35</v>
      </c>
      <c r="EC1" t="s">
        <v>36</v>
      </c>
      <c r="ED1" t="s">
        <v>37</v>
      </c>
      <c r="EE1" t="s">
        <v>38</v>
      </c>
      <c r="EF1" t="s">
        <v>39</v>
      </c>
      <c r="EG1" t="s">
        <v>40</v>
      </c>
      <c r="EH1" t="s">
        <v>41</v>
      </c>
      <c r="EI1" t="s">
        <v>42</v>
      </c>
      <c r="EJ1" t="s">
        <v>43</v>
      </c>
      <c r="EK1" t="s">
        <v>44</v>
      </c>
      <c r="EL1" t="s">
        <v>45</v>
      </c>
      <c r="EM1" t="s">
        <v>46</v>
      </c>
      <c r="EN1" t="s">
        <v>47</v>
      </c>
      <c r="EO1" t="s">
        <v>48</v>
      </c>
      <c r="EP1" t="s">
        <v>49</v>
      </c>
      <c r="EQ1" t="s">
        <v>50</v>
      </c>
      <c r="ER1" t="s">
        <v>51</v>
      </c>
      <c r="ES1" t="s">
        <v>52</v>
      </c>
      <c r="ET1" t="s">
        <v>53</v>
      </c>
      <c r="EU1" t="s">
        <v>54</v>
      </c>
      <c r="EV1" t="s">
        <v>55</v>
      </c>
      <c r="EW1" t="s">
        <v>56</v>
      </c>
      <c r="EX1" t="s">
        <v>57</v>
      </c>
      <c r="EY1" t="s">
        <v>58</v>
      </c>
      <c r="EZ1" t="s">
        <v>59</v>
      </c>
      <c r="FA1" t="s">
        <v>60</v>
      </c>
      <c r="FB1" t="s">
        <v>61</v>
      </c>
      <c r="FC1" t="s">
        <v>62</v>
      </c>
      <c r="FD1" t="s">
        <v>63</v>
      </c>
      <c r="FE1" t="s">
        <v>64</v>
      </c>
      <c r="FF1" t="s">
        <v>65</v>
      </c>
      <c r="FG1" t="s">
        <v>66</v>
      </c>
      <c r="FH1" t="s">
        <v>67</v>
      </c>
      <c r="FI1" t="s">
        <v>68</v>
      </c>
      <c r="FJ1" t="s">
        <v>69</v>
      </c>
      <c r="FK1" t="s">
        <v>70</v>
      </c>
      <c r="FL1" t="s">
        <v>71</v>
      </c>
      <c r="FM1" t="s">
        <v>72</v>
      </c>
      <c r="FN1" t="s">
        <v>73</v>
      </c>
      <c r="FO1" t="s">
        <v>74</v>
      </c>
      <c r="FP1" t="s">
        <v>75</v>
      </c>
      <c r="FQ1" t="s">
        <v>76</v>
      </c>
      <c r="FR1" t="s">
        <v>77</v>
      </c>
      <c r="FS1" t="s">
        <v>78</v>
      </c>
      <c r="FT1" t="s">
        <v>79</v>
      </c>
      <c r="FU1" t="s">
        <v>80</v>
      </c>
      <c r="FV1" t="s">
        <v>81</v>
      </c>
      <c r="FW1" t="s">
        <v>82</v>
      </c>
      <c r="FX1" t="s">
        <v>83</v>
      </c>
      <c r="FY1" t="s">
        <v>84</v>
      </c>
      <c r="FZ1" t="s">
        <v>85</v>
      </c>
      <c r="GA1" t="s">
        <v>86</v>
      </c>
      <c r="GB1" t="s">
        <v>87</v>
      </c>
      <c r="GC1" t="s">
        <v>88</v>
      </c>
      <c r="GD1" t="s">
        <v>89</v>
      </c>
      <c r="GE1" t="s">
        <v>90</v>
      </c>
      <c r="GF1" t="s">
        <v>91</v>
      </c>
      <c r="GG1" t="s">
        <v>92</v>
      </c>
      <c r="GH1" t="s">
        <v>93</v>
      </c>
      <c r="GI1" t="s">
        <v>94</v>
      </c>
      <c r="GJ1" t="s">
        <v>95</v>
      </c>
      <c r="GK1" t="s">
        <v>96</v>
      </c>
      <c r="GL1" t="s">
        <v>97</v>
      </c>
      <c r="GM1" t="s">
        <v>98</v>
      </c>
      <c r="GN1" t="s">
        <v>104</v>
      </c>
    </row>
    <row r="2" spans="1:196" x14ac:dyDescent="0.2">
      <c r="A2" t="s">
        <v>99</v>
      </c>
      <c r="B2">
        <v>777008</v>
      </c>
      <c r="C2" t="s">
        <v>100</v>
      </c>
      <c r="D2" t="s">
        <v>101</v>
      </c>
      <c r="E2" t="s">
        <v>100</v>
      </c>
      <c r="F2" t="s">
        <v>100</v>
      </c>
      <c r="G2" t="s">
        <v>100</v>
      </c>
      <c r="H2" t="s">
        <v>100</v>
      </c>
      <c r="I2" t="s">
        <v>100</v>
      </c>
      <c r="J2" t="s">
        <v>100</v>
      </c>
      <c r="K2" t="s">
        <v>100</v>
      </c>
      <c r="L2" t="s">
        <v>100</v>
      </c>
      <c r="M2" t="s">
        <v>100</v>
      </c>
      <c r="N2" t="s">
        <v>100</v>
      </c>
      <c r="O2" t="s">
        <v>100</v>
      </c>
      <c r="P2" t="s">
        <v>100</v>
      </c>
      <c r="Q2" t="s">
        <v>100</v>
      </c>
      <c r="R2" t="s">
        <v>100</v>
      </c>
      <c r="S2" t="s">
        <v>100</v>
      </c>
      <c r="T2" t="s">
        <v>100</v>
      </c>
      <c r="U2" t="s">
        <v>100</v>
      </c>
      <c r="V2" t="s">
        <v>100</v>
      </c>
      <c r="W2" t="s">
        <v>100</v>
      </c>
      <c r="X2" t="s">
        <v>100</v>
      </c>
      <c r="Y2" t="s">
        <v>100</v>
      </c>
      <c r="Z2" t="s">
        <v>100</v>
      </c>
      <c r="AA2" t="s">
        <v>100</v>
      </c>
      <c r="AB2" t="s">
        <v>100</v>
      </c>
      <c r="AC2" t="s">
        <v>100</v>
      </c>
      <c r="AD2" t="s">
        <v>100</v>
      </c>
      <c r="AE2" t="s">
        <v>100</v>
      </c>
      <c r="AF2" t="s">
        <v>100</v>
      </c>
      <c r="AG2" t="s">
        <v>100</v>
      </c>
      <c r="AH2" t="s">
        <v>100</v>
      </c>
      <c r="AI2" t="s">
        <v>100</v>
      </c>
      <c r="AJ2" t="s">
        <v>100</v>
      </c>
      <c r="AK2" t="s">
        <v>100</v>
      </c>
      <c r="AL2" t="s">
        <v>100</v>
      </c>
      <c r="AM2" t="s">
        <v>100</v>
      </c>
      <c r="AN2" t="s">
        <v>100</v>
      </c>
      <c r="AO2" t="s">
        <v>100</v>
      </c>
      <c r="AP2" t="s">
        <v>100</v>
      </c>
      <c r="AQ2" t="s">
        <v>100</v>
      </c>
      <c r="AR2" t="s">
        <v>100</v>
      </c>
      <c r="AS2" t="s">
        <v>100</v>
      </c>
      <c r="AT2" t="s">
        <v>100</v>
      </c>
      <c r="AU2" t="s">
        <v>100</v>
      </c>
      <c r="AV2" t="s">
        <v>100</v>
      </c>
      <c r="AW2" t="s">
        <v>100</v>
      </c>
      <c r="AX2" t="s">
        <v>100</v>
      </c>
      <c r="AY2" t="s">
        <v>100</v>
      </c>
      <c r="AZ2" t="s">
        <v>100</v>
      </c>
      <c r="BA2" t="s">
        <v>100</v>
      </c>
      <c r="BB2" t="s">
        <v>100</v>
      </c>
      <c r="BC2" t="s">
        <v>100</v>
      </c>
      <c r="BD2" t="s">
        <v>100</v>
      </c>
      <c r="BE2" t="s">
        <v>100</v>
      </c>
      <c r="BF2" t="s">
        <v>100</v>
      </c>
      <c r="BG2" t="s">
        <v>100</v>
      </c>
      <c r="BH2" t="s">
        <v>100</v>
      </c>
      <c r="BI2" t="s">
        <v>100</v>
      </c>
      <c r="BJ2" t="s">
        <v>100</v>
      </c>
      <c r="BK2" t="s">
        <v>100</v>
      </c>
      <c r="BL2" t="s">
        <v>100</v>
      </c>
      <c r="BM2" t="s">
        <v>100</v>
      </c>
      <c r="BN2" t="s">
        <v>100</v>
      </c>
      <c r="BO2" t="s">
        <v>100</v>
      </c>
      <c r="BP2" t="s">
        <v>100</v>
      </c>
      <c r="BQ2" t="s">
        <v>100</v>
      </c>
      <c r="BR2" t="s">
        <v>100</v>
      </c>
      <c r="BS2" t="s">
        <v>100</v>
      </c>
      <c r="BT2" t="s">
        <v>100</v>
      </c>
      <c r="BU2" t="s">
        <v>100</v>
      </c>
      <c r="BV2" t="s">
        <v>100</v>
      </c>
      <c r="BW2" t="s">
        <v>100</v>
      </c>
      <c r="BX2" t="s">
        <v>100</v>
      </c>
      <c r="BY2" t="s">
        <v>100</v>
      </c>
      <c r="BZ2" t="s">
        <v>100</v>
      </c>
      <c r="CA2" t="s">
        <v>100</v>
      </c>
      <c r="CB2" t="s">
        <v>100</v>
      </c>
      <c r="CC2" t="s">
        <v>100</v>
      </c>
      <c r="CD2" t="s">
        <v>100</v>
      </c>
      <c r="CE2" t="s">
        <v>100</v>
      </c>
      <c r="CF2" t="s">
        <v>100</v>
      </c>
      <c r="CG2" t="s">
        <v>100</v>
      </c>
      <c r="CH2" t="s">
        <v>100</v>
      </c>
      <c r="CI2" t="s">
        <v>100</v>
      </c>
      <c r="CJ2" t="s">
        <v>100</v>
      </c>
      <c r="CK2" t="s">
        <v>100</v>
      </c>
      <c r="CL2" t="s">
        <v>100</v>
      </c>
      <c r="CM2" t="s">
        <v>100</v>
      </c>
      <c r="CN2" t="s">
        <v>100</v>
      </c>
      <c r="CO2" t="s">
        <v>100</v>
      </c>
      <c r="CP2" t="s">
        <v>100</v>
      </c>
      <c r="CQ2" t="s">
        <v>100</v>
      </c>
      <c r="CR2" t="s">
        <v>100</v>
      </c>
      <c r="CS2" t="s">
        <v>100</v>
      </c>
      <c r="CT2" t="s">
        <v>100</v>
      </c>
      <c r="CU2" t="s">
        <v>100</v>
      </c>
      <c r="CV2">
        <f t="shared" ref="CV2:DE5" si="0">IF(D2=$C2,0,1)</f>
        <v>1</v>
      </c>
      <c r="CW2">
        <f t="shared" si="0"/>
        <v>0</v>
      </c>
      <c r="CX2">
        <f t="shared" si="0"/>
        <v>0</v>
      </c>
      <c r="CY2">
        <f t="shared" si="0"/>
        <v>0</v>
      </c>
      <c r="CZ2">
        <f t="shared" si="0"/>
        <v>0</v>
      </c>
      <c r="DA2">
        <f t="shared" si="0"/>
        <v>0</v>
      </c>
      <c r="DB2">
        <f t="shared" si="0"/>
        <v>0</v>
      </c>
      <c r="DC2">
        <f t="shared" si="0"/>
        <v>0</v>
      </c>
      <c r="DD2">
        <f t="shared" si="0"/>
        <v>0</v>
      </c>
      <c r="DE2">
        <f t="shared" si="0"/>
        <v>0</v>
      </c>
      <c r="DF2">
        <f t="shared" ref="DF2:DO5" si="1">IF(N2=$C2,0,1)</f>
        <v>0</v>
      </c>
      <c r="DG2">
        <f t="shared" si="1"/>
        <v>0</v>
      </c>
      <c r="DH2">
        <f t="shared" si="1"/>
        <v>0</v>
      </c>
      <c r="DI2">
        <f t="shared" si="1"/>
        <v>0</v>
      </c>
      <c r="DJ2">
        <f t="shared" si="1"/>
        <v>0</v>
      </c>
      <c r="DK2">
        <f t="shared" si="1"/>
        <v>0</v>
      </c>
      <c r="DL2">
        <f t="shared" si="1"/>
        <v>0</v>
      </c>
      <c r="DM2">
        <f t="shared" si="1"/>
        <v>0</v>
      </c>
      <c r="DN2">
        <f t="shared" si="1"/>
        <v>0</v>
      </c>
      <c r="DO2">
        <f t="shared" si="1"/>
        <v>0</v>
      </c>
      <c r="DP2">
        <f t="shared" ref="DP2:DY5" si="2">IF(X2=$C2,0,1)</f>
        <v>0</v>
      </c>
      <c r="DQ2">
        <f t="shared" si="2"/>
        <v>0</v>
      </c>
      <c r="DR2">
        <f t="shared" si="2"/>
        <v>0</v>
      </c>
      <c r="DS2">
        <f t="shared" si="2"/>
        <v>0</v>
      </c>
      <c r="DT2">
        <f t="shared" si="2"/>
        <v>0</v>
      </c>
      <c r="DU2">
        <f t="shared" si="2"/>
        <v>0</v>
      </c>
      <c r="DV2">
        <f t="shared" si="2"/>
        <v>0</v>
      </c>
      <c r="DW2">
        <f t="shared" si="2"/>
        <v>0</v>
      </c>
      <c r="DX2">
        <f t="shared" si="2"/>
        <v>0</v>
      </c>
      <c r="DY2">
        <f t="shared" si="2"/>
        <v>0</v>
      </c>
      <c r="DZ2">
        <f t="shared" ref="DZ2:EI5" si="3">IF(AH2=$C2,0,1)</f>
        <v>0</v>
      </c>
      <c r="EA2">
        <f t="shared" si="3"/>
        <v>0</v>
      </c>
      <c r="EB2">
        <f t="shared" si="3"/>
        <v>0</v>
      </c>
      <c r="EC2">
        <f t="shared" si="3"/>
        <v>0</v>
      </c>
      <c r="ED2">
        <f t="shared" si="3"/>
        <v>0</v>
      </c>
      <c r="EE2">
        <f t="shared" si="3"/>
        <v>0</v>
      </c>
      <c r="EF2">
        <f t="shared" si="3"/>
        <v>0</v>
      </c>
      <c r="EG2">
        <f t="shared" si="3"/>
        <v>0</v>
      </c>
      <c r="EH2">
        <f t="shared" si="3"/>
        <v>0</v>
      </c>
      <c r="EI2">
        <f t="shared" si="3"/>
        <v>0</v>
      </c>
      <c r="EJ2">
        <f t="shared" ref="EJ2:ES5" si="4">IF(AR2=$C2,0,1)</f>
        <v>0</v>
      </c>
      <c r="EK2">
        <f t="shared" si="4"/>
        <v>0</v>
      </c>
      <c r="EL2">
        <f t="shared" si="4"/>
        <v>0</v>
      </c>
      <c r="EM2">
        <f t="shared" si="4"/>
        <v>0</v>
      </c>
      <c r="EN2">
        <f t="shared" si="4"/>
        <v>0</v>
      </c>
      <c r="EO2">
        <f t="shared" si="4"/>
        <v>0</v>
      </c>
      <c r="EP2">
        <f t="shared" si="4"/>
        <v>0</v>
      </c>
      <c r="EQ2">
        <f t="shared" si="4"/>
        <v>0</v>
      </c>
      <c r="ER2">
        <f t="shared" si="4"/>
        <v>0</v>
      </c>
      <c r="ES2">
        <f t="shared" si="4"/>
        <v>0</v>
      </c>
      <c r="ET2">
        <f t="shared" ref="ET2:FC5" si="5">IF(BB2=$C2,0,1)</f>
        <v>0</v>
      </c>
      <c r="EU2">
        <f t="shared" si="5"/>
        <v>0</v>
      </c>
      <c r="EV2">
        <f t="shared" si="5"/>
        <v>0</v>
      </c>
      <c r="EW2">
        <f t="shared" si="5"/>
        <v>0</v>
      </c>
      <c r="EX2">
        <f t="shared" si="5"/>
        <v>0</v>
      </c>
      <c r="EY2">
        <f t="shared" si="5"/>
        <v>0</v>
      </c>
      <c r="EZ2">
        <f t="shared" si="5"/>
        <v>0</v>
      </c>
      <c r="FA2">
        <f t="shared" si="5"/>
        <v>0</v>
      </c>
      <c r="FB2">
        <f t="shared" si="5"/>
        <v>0</v>
      </c>
      <c r="FC2">
        <f t="shared" si="5"/>
        <v>0</v>
      </c>
      <c r="FD2">
        <f t="shared" ref="FD2:FM5" si="6">IF(BL2=$C2,0,1)</f>
        <v>0</v>
      </c>
      <c r="FE2">
        <f t="shared" si="6"/>
        <v>0</v>
      </c>
      <c r="FF2">
        <f t="shared" si="6"/>
        <v>0</v>
      </c>
      <c r="FG2">
        <f t="shared" si="6"/>
        <v>0</v>
      </c>
      <c r="FH2">
        <f t="shared" si="6"/>
        <v>0</v>
      </c>
      <c r="FI2">
        <f t="shared" si="6"/>
        <v>0</v>
      </c>
      <c r="FJ2">
        <f t="shared" si="6"/>
        <v>0</v>
      </c>
      <c r="FK2">
        <f t="shared" si="6"/>
        <v>0</v>
      </c>
      <c r="FL2">
        <f t="shared" si="6"/>
        <v>0</v>
      </c>
      <c r="FM2">
        <f t="shared" si="6"/>
        <v>0</v>
      </c>
      <c r="FN2">
        <f t="shared" ref="FN2:FW5" si="7">IF(BV2=$C2,0,1)</f>
        <v>0</v>
      </c>
      <c r="FO2">
        <f t="shared" si="7"/>
        <v>0</v>
      </c>
      <c r="FP2">
        <f t="shared" si="7"/>
        <v>0</v>
      </c>
      <c r="FQ2">
        <f t="shared" si="7"/>
        <v>0</v>
      </c>
      <c r="FR2">
        <f t="shared" si="7"/>
        <v>0</v>
      </c>
      <c r="FS2">
        <f t="shared" si="7"/>
        <v>0</v>
      </c>
      <c r="FT2">
        <f t="shared" si="7"/>
        <v>0</v>
      </c>
      <c r="FU2">
        <f t="shared" si="7"/>
        <v>0</v>
      </c>
      <c r="FV2">
        <f t="shared" si="7"/>
        <v>0</v>
      </c>
      <c r="FW2">
        <f t="shared" si="7"/>
        <v>0</v>
      </c>
      <c r="FX2">
        <f t="shared" ref="FX2:GG5" si="8">IF(CF2=$C2,0,1)</f>
        <v>0</v>
      </c>
      <c r="FY2">
        <f t="shared" si="8"/>
        <v>0</v>
      </c>
      <c r="FZ2">
        <f t="shared" si="8"/>
        <v>0</v>
      </c>
      <c r="GA2">
        <f t="shared" si="8"/>
        <v>0</v>
      </c>
      <c r="GB2">
        <f t="shared" si="8"/>
        <v>0</v>
      </c>
      <c r="GC2">
        <f t="shared" si="8"/>
        <v>0</v>
      </c>
      <c r="GD2">
        <f t="shared" si="8"/>
        <v>0</v>
      </c>
      <c r="GE2">
        <f t="shared" si="8"/>
        <v>0</v>
      </c>
      <c r="GF2">
        <f t="shared" si="8"/>
        <v>0</v>
      </c>
      <c r="GG2">
        <f t="shared" si="8"/>
        <v>0</v>
      </c>
      <c r="GH2">
        <f t="shared" ref="GH2:GM5" si="9">IF(CP2=$C2,0,1)</f>
        <v>0</v>
      </c>
      <c r="GI2">
        <f t="shared" si="9"/>
        <v>0</v>
      </c>
      <c r="GJ2">
        <f t="shared" si="9"/>
        <v>0</v>
      </c>
      <c r="GK2">
        <f t="shared" si="9"/>
        <v>0</v>
      </c>
      <c r="GL2">
        <f t="shared" si="9"/>
        <v>0</v>
      </c>
      <c r="GM2">
        <f t="shared" si="9"/>
        <v>0</v>
      </c>
      <c r="GN2">
        <f>SUM(CV2:GM2)</f>
        <v>1</v>
      </c>
    </row>
    <row r="3" spans="1:196" x14ac:dyDescent="0.2">
      <c r="A3" t="s">
        <v>99</v>
      </c>
      <c r="B3">
        <v>1611379</v>
      </c>
      <c r="C3" t="s">
        <v>102</v>
      </c>
      <c r="D3" t="s">
        <v>103</v>
      </c>
      <c r="E3" t="s">
        <v>102</v>
      </c>
      <c r="F3" t="s">
        <v>102</v>
      </c>
      <c r="G3" t="s">
        <v>102</v>
      </c>
      <c r="H3" t="s">
        <v>102</v>
      </c>
      <c r="I3" t="s">
        <v>102</v>
      </c>
      <c r="J3" t="s">
        <v>102</v>
      </c>
      <c r="K3" t="s">
        <v>102</v>
      </c>
      <c r="L3" t="s">
        <v>102</v>
      </c>
      <c r="M3" t="s">
        <v>102</v>
      </c>
      <c r="N3" t="s">
        <v>102</v>
      </c>
      <c r="O3" t="s">
        <v>102</v>
      </c>
      <c r="P3" t="s">
        <v>102</v>
      </c>
      <c r="Q3" t="s">
        <v>102</v>
      </c>
      <c r="R3" t="s">
        <v>102</v>
      </c>
      <c r="S3" t="s">
        <v>102</v>
      </c>
      <c r="T3" t="s">
        <v>102</v>
      </c>
      <c r="U3" t="s">
        <v>102</v>
      </c>
      <c r="V3" t="s">
        <v>102</v>
      </c>
      <c r="W3" t="s">
        <v>102</v>
      </c>
      <c r="X3" t="s">
        <v>102</v>
      </c>
      <c r="Y3" t="s">
        <v>102</v>
      </c>
      <c r="Z3" t="s">
        <v>102</v>
      </c>
      <c r="AA3" t="s">
        <v>102</v>
      </c>
      <c r="AB3" t="s">
        <v>102</v>
      </c>
      <c r="AC3" t="s">
        <v>102</v>
      </c>
      <c r="AD3" t="s">
        <v>102</v>
      </c>
      <c r="AE3" t="s">
        <v>102</v>
      </c>
      <c r="AF3" t="s">
        <v>102</v>
      </c>
      <c r="AG3" t="s">
        <v>102</v>
      </c>
      <c r="AH3" t="s">
        <v>102</v>
      </c>
      <c r="AI3" t="s">
        <v>102</v>
      </c>
      <c r="AJ3" t="s">
        <v>102</v>
      </c>
      <c r="AK3" t="s">
        <v>102</v>
      </c>
      <c r="AL3" t="s">
        <v>102</v>
      </c>
      <c r="AM3" t="s">
        <v>102</v>
      </c>
      <c r="AN3" t="s">
        <v>102</v>
      </c>
      <c r="AO3" t="s">
        <v>102</v>
      </c>
      <c r="AP3" t="s">
        <v>102</v>
      </c>
      <c r="AQ3" t="s">
        <v>102</v>
      </c>
      <c r="AR3" t="s">
        <v>102</v>
      </c>
      <c r="AS3" t="s">
        <v>102</v>
      </c>
      <c r="AT3" t="s">
        <v>102</v>
      </c>
      <c r="AU3" t="s">
        <v>102</v>
      </c>
      <c r="AV3" t="s">
        <v>102</v>
      </c>
      <c r="AW3" t="s">
        <v>102</v>
      </c>
      <c r="AX3" t="s">
        <v>102</v>
      </c>
      <c r="AY3" t="s">
        <v>102</v>
      </c>
      <c r="AZ3" t="s">
        <v>102</v>
      </c>
      <c r="BA3" t="s">
        <v>102</v>
      </c>
      <c r="BB3" t="s">
        <v>102</v>
      </c>
      <c r="BC3" t="s">
        <v>102</v>
      </c>
      <c r="BD3" t="s">
        <v>102</v>
      </c>
      <c r="BE3" t="s">
        <v>102</v>
      </c>
      <c r="BF3" t="s">
        <v>102</v>
      </c>
      <c r="BG3" t="s">
        <v>102</v>
      </c>
      <c r="BH3" t="s">
        <v>102</v>
      </c>
      <c r="BI3" t="s">
        <v>102</v>
      </c>
      <c r="BJ3" t="s">
        <v>102</v>
      </c>
      <c r="BK3" t="s">
        <v>102</v>
      </c>
      <c r="BL3" t="s">
        <v>102</v>
      </c>
      <c r="BM3" t="s">
        <v>102</v>
      </c>
      <c r="BN3" t="s">
        <v>102</v>
      </c>
      <c r="BO3" t="s">
        <v>102</v>
      </c>
      <c r="BP3" t="s">
        <v>102</v>
      </c>
      <c r="BQ3" t="s">
        <v>102</v>
      </c>
      <c r="BR3" t="s">
        <v>102</v>
      </c>
      <c r="BS3" t="s">
        <v>102</v>
      </c>
      <c r="BT3" t="s">
        <v>102</v>
      </c>
      <c r="BU3" t="s">
        <v>102</v>
      </c>
      <c r="BV3" t="s">
        <v>102</v>
      </c>
      <c r="BW3" t="s">
        <v>102</v>
      </c>
      <c r="BX3" t="s">
        <v>102</v>
      </c>
      <c r="BY3" t="s">
        <v>102</v>
      </c>
      <c r="BZ3" t="s">
        <v>102</v>
      </c>
      <c r="CA3" t="s">
        <v>102</v>
      </c>
      <c r="CB3" t="s">
        <v>102</v>
      </c>
      <c r="CC3" t="s">
        <v>102</v>
      </c>
      <c r="CD3" t="s">
        <v>102</v>
      </c>
      <c r="CE3" t="s">
        <v>102</v>
      </c>
      <c r="CF3" t="s">
        <v>102</v>
      </c>
      <c r="CG3" t="s">
        <v>102</v>
      </c>
      <c r="CH3" t="s">
        <v>102</v>
      </c>
      <c r="CI3" t="s">
        <v>102</v>
      </c>
      <c r="CJ3" t="s">
        <v>102</v>
      </c>
      <c r="CK3" t="s">
        <v>102</v>
      </c>
      <c r="CL3" t="s">
        <v>102</v>
      </c>
      <c r="CM3" t="s">
        <v>102</v>
      </c>
      <c r="CN3" t="s">
        <v>102</v>
      </c>
      <c r="CO3" t="s">
        <v>102</v>
      </c>
      <c r="CP3" t="s">
        <v>102</v>
      </c>
      <c r="CQ3" t="s">
        <v>102</v>
      </c>
      <c r="CR3" t="s">
        <v>102</v>
      </c>
      <c r="CS3" t="s">
        <v>102</v>
      </c>
      <c r="CT3" t="s">
        <v>102</v>
      </c>
      <c r="CU3" t="s">
        <v>102</v>
      </c>
      <c r="CV3">
        <f t="shared" si="0"/>
        <v>1</v>
      </c>
      <c r="CW3">
        <f t="shared" si="0"/>
        <v>0</v>
      </c>
      <c r="CX3">
        <f t="shared" si="0"/>
        <v>0</v>
      </c>
      <c r="CY3">
        <f t="shared" si="0"/>
        <v>0</v>
      </c>
      <c r="CZ3">
        <f t="shared" si="0"/>
        <v>0</v>
      </c>
      <c r="DA3">
        <f t="shared" si="0"/>
        <v>0</v>
      </c>
      <c r="DB3">
        <f t="shared" si="0"/>
        <v>0</v>
      </c>
      <c r="DC3">
        <f t="shared" si="0"/>
        <v>0</v>
      </c>
      <c r="DD3">
        <f t="shared" si="0"/>
        <v>0</v>
      </c>
      <c r="DE3">
        <f t="shared" si="0"/>
        <v>0</v>
      </c>
      <c r="DF3">
        <f t="shared" si="1"/>
        <v>0</v>
      </c>
      <c r="DG3">
        <f t="shared" si="1"/>
        <v>0</v>
      </c>
      <c r="DH3">
        <f t="shared" si="1"/>
        <v>0</v>
      </c>
      <c r="DI3">
        <f t="shared" si="1"/>
        <v>0</v>
      </c>
      <c r="DJ3">
        <f t="shared" si="1"/>
        <v>0</v>
      </c>
      <c r="DK3">
        <f t="shared" si="1"/>
        <v>0</v>
      </c>
      <c r="DL3">
        <f t="shared" si="1"/>
        <v>0</v>
      </c>
      <c r="DM3">
        <f t="shared" si="1"/>
        <v>0</v>
      </c>
      <c r="DN3">
        <f t="shared" si="1"/>
        <v>0</v>
      </c>
      <c r="DO3">
        <f t="shared" si="1"/>
        <v>0</v>
      </c>
      <c r="DP3">
        <f t="shared" si="2"/>
        <v>0</v>
      </c>
      <c r="DQ3">
        <f t="shared" si="2"/>
        <v>0</v>
      </c>
      <c r="DR3">
        <f t="shared" si="2"/>
        <v>0</v>
      </c>
      <c r="DS3">
        <f t="shared" si="2"/>
        <v>0</v>
      </c>
      <c r="DT3">
        <f t="shared" si="2"/>
        <v>0</v>
      </c>
      <c r="DU3">
        <f t="shared" si="2"/>
        <v>0</v>
      </c>
      <c r="DV3">
        <f t="shared" si="2"/>
        <v>0</v>
      </c>
      <c r="DW3">
        <f t="shared" si="2"/>
        <v>0</v>
      </c>
      <c r="DX3">
        <f t="shared" si="2"/>
        <v>0</v>
      </c>
      <c r="DY3">
        <f t="shared" si="2"/>
        <v>0</v>
      </c>
      <c r="DZ3">
        <f t="shared" si="3"/>
        <v>0</v>
      </c>
      <c r="EA3">
        <f t="shared" si="3"/>
        <v>0</v>
      </c>
      <c r="EB3">
        <f t="shared" si="3"/>
        <v>0</v>
      </c>
      <c r="EC3">
        <f t="shared" si="3"/>
        <v>0</v>
      </c>
      <c r="ED3">
        <f t="shared" si="3"/>
        <v>0</v>
      </c>
      <c r="EE3">
        <f t="shared" si="3"/>
        <v>0</v>
      </c>
      <c r="EF3">
        <f t="shared" si="3"/>
        <v>0</v>
      </c>
      <c r="EG3">
        <f t="shared" si="3"/>
        <v>0</v>
      </c>
      <c r="EH3">
        <f t="shared" si="3"/>
        <v>0</v>
      </c>
      <c r="EI3">
        <f t="shared" si="3"/>
        <v>0</v>
      </c>
      <c r="EJ3">
        <f t="shared" si="4"/>
        <v>0</v>
      </c>
      <c r="EK3">
        <f t="shared" si="4"/>
        <v>0</v>
      </c>
      <c r="EL3">
        <f t="shared" si="4"/>
        <v>0</v>
      </c>
      <c r="EM3">
        <f t="shared" si="4"/>
        <v>0</v>
      </c>
      <c r="EN3">
        <f t="shared" si="4"/>
        <v>0</v>
      </c>
      <c r="EO3">
        <f t="shared" si="4"/>
        <v>0</v>
      </c>
      <c r="EP3">
        <f t="shared" si="4"/>
        <v>0</v>
      </c>
      <c r="EQ3">
        <f t="shared" si="4"/>
        <v>0</v>
      </c>
      <c r="ER3">
        <f t="shared" si="4"/>
        <v>0</v>
      </c>
      <c r="ES3">
        <f t="shared" si="4"/>
        <v>0</v>
      </c>
      <c r="ET3">
        <f t="shared" si="5"/>
        <v>0</v>
      </c>
      <c r="EU3">
        <f t="shared" si="5"/>
        <v>0</v>
      </c>
      <c r="EV3">
        <f t="shared" si="5"/>
        <v>0</v>
      </c>
      <c r="EW3">
        <f t="shared" si="5"/>
        <v>0</v>
      </c>
      <c r="EX3">
        <f t="shared" si="5"/>
        <v>0</v>
      </c>
      <c r="EY3">
        <f t="shared" si="5"/>
        <v>0</v>
      </c>
      <c r="EZ3">
        <f t="shared" si="5"/>
        <v>0</v>
      </c>
      <c r="FA3">
        <f t="shared" si="5"/>
        <v>0</v>
      </c>
      <c r="FB3">
        <f t="shared" si="5"/>
        <v>0</v>
      </c>
      <c r="FC3">
        <f t="shared" si="5"/>
        <v>0</v>
      </c>
      <c r="FD3">
        <f t="shared" si="6"/>
        <v>0</v>
      </c>
      <c r="FE3">
        <f t="shared" si="6"/>
        <v>0</v>
      </c>
      <c r="FF3">
        <f t="shared" si="6"/>
        <v>0</v>
      </c>
      <c r="FG3">
        <f t="shared" si="6"/>
        <v>0</v>
      </c>
      <c r="FH3">
        <f t="shared" si="6"/>
        <v>0</v>
      </c>
      <c r="FI3">
        <f t="shared" si="6"/>
        <v>0</v>
      </c>
      <c r="FJ3">
        <f t="shared" si="6"/>
        <v>0</v>
      </c>
      <c r="FK3">
        <f t="shared" si="6"/>
        <v>0</v>
      </c>
      <c r="FL3">
        <f t="shared" si="6"/>
        <v>0</v>
      </c>
      <c r="FM3">
        <f t="shared" si="6"/>
        <v>0</v>
      </c>
      <c r="FN3">
        <f t="shared" si="7"/>
        <v>0</v>
      </c>
      <c r="FO3">
        <f t="shared" si="7"/>
        <v>0</v>
      </c>
      <c r="FP3">
        <f t="shared" si="7"/>
        <v>0</v>
      </c>
      <c r="FQ3">
        <f t="shared" si="7"/>
        <v>0</v>
      </c>
      <c r="FR3">
        <f t="shared" si="7"/>
        <v>0</v>
      </c>
      <c r="FS3">
        <f t="shared" si="7"/>
        <v>0</v>
      </c>
      <c r="FT3">
        <f t="shared" si="7"/>
        <v>0</v>
      </c>
      <c r="FU3">
        <f t="shared" si="7"/>
        <v>0</v>
      </c>
      <c r="FV3">
        <f t="shared" si="7"/>
        <v>0</v>
      </c>
      <c r="FW3">
        <f t="shared" si="7"/>
        <v>0</v>
      </c>
      <c r="FX3">
        <f t="shared" si="8"/>
        <v>0</v>
      </c>
      <c r="FY3">
        <f t="shared" si="8"/>
        <v>0</v>
      </c>
      <c r="FZ3">
        <f t="shared" si="8"/>
        <v>0</v>
      </c>
      <c r="GA3">
        <f t="shared" si="8"/>
        <v>0</v>
      </c>
      <c r="GB3">
        <f t="shared" si="8"/>
        <v>0</v>
      </c>
      <c r="GC3">
        <f t="shared" si="8"/>
        <v>0</v>
      </c>
      <c r="GD3">
        <f t="shared" si="8"/>
        <v>0</v>
      </c>
      <c r="GE3">
        <f t="shared" si="8"/>
        <v>0</v>
      </c>
      <c r="GF3">
        <f t="shared" si="8"/>
        <v>0</v>
      </c>
      <c r="GG3">
        <f t="shared" si="8"/>
        <v>0</v>
      </c>
      <c r="GH3">
        <f t="shared" si="9"/>
        <v>0</v>
      </c>
      <c r="GI3">
        <f t="shared" si="9"/>
        <v>0</v>
      </c>
      <c r="GJ3">
        <f t="shared" si="9"/>
        <v>0</v>
      </c>
      <c r="GK3">
        <f t="shared" si="9"/>
        <v>0</v>
      </c>
      <c r="GL3">
        <f t="shared" si="9"/>
        <v>0</v>
      </c>
      <c r="GM3">
        <f t="shared" si="9"/>
        <v>0</v>
      </c>
      <c r="GN3">
        <f>SUM(CV3:GM3)</f>
        <v>1</v>
      </c>
    </row>
    <row r="4" spans="1:196" x14ac:dyDescent="0.2">
      <c r="A4" t="s">
        <v>99</v>
      </c>
      <c r="B4">
        <v>2323251</v>
      </c>
      <c r="C4" t="s">
        <v>102</v>
      </c>
      <c r="D4" t="s">
        <v>102</v>
      </c>
      <c r="E4" t="s">
        <v>102</v>
      </c>
      <c r="F4" t="s">
        <v>102</v>
      </c>
      <c r="G4" t="s">
        <v>102</v>
      </c>
      <c r="H4" t="s">
        <v>102</v>
      </c>
      <c r="I4" t="s">
        <v>102</v>
      </c>
      <c r="J4" t="s">
        <v>102</v>
      </c>
      <c r="K4" t="s">
        <v>102</v>
      </c>
      <c r="L4" t="s">
        <v>102</v>
      </c>
      <c r="M4" t="s">
        <v>102</v>
      </c>
      <c r="N4" t="s">
        <v>102</v>
      </c>
      <c r="O4" t="s">
        <v>102</v>
      </c>
      <c r="P4" t="s">
        <v>102</v>
      </c>
      <c r="Q4" t="s">
        <v>102</v>
      </c>
      <c r="R4" t="s">
        <v>102</v>
      </c>
      <c r="S4" t="s">
        <v>102</v>
      </c>
      <c r="T4" t="s">
        <v>102</v>
      </c>
      <c r="U4" t="s">
        <v>102</v>
      </c>
      <c r="V4" t="s">
        <v>102</v>
      </c>
      <c r="W4" t="s">
        <v>102</v>
      </c>
      <c r="X4" t="s">
        <v>102</v>
      </c>
      <c r="Y4" t="s">
        <v>102</v>
      </c>
      <c r="Z4" t="s">
        <v>102</v>
      </c>
      <c r="AA4" t="s">
        <v>102</v>
      </c>
      <c r="AB4" t="s">
        <v>102</v>
      </c>
      <c r="AC4" t="s">
        <v>102</v>
      </c>
      <c r="AD4" t="s">
        <v>102</v>
      </c>
      <c r="AE4" t="s">
        <v>102</v>
      </c>
      <c r="AF4" t="s">
        <v>102</v>
      </c>
      <c r="AG4" t="s">
        <v>102</v>
      </c>
      <c r="AH4" t="s">
        <v>102</v>
      </c>
      <c r="AI4" t="s">
        <v>102</v>
      </c>
      <c r="AJ4" t="s">
        <v>102</v>
      </c>
      <c r="AK4" t="s">
        <v>102</v>
      </c>
      <c r="AL4" t="s">
        <v>102</v>
      </c>
      <c r="AM4" t="s">
        <v>102</v>
      </c>
      <c r="AN4" t="s">
        <v>102</v>
      </c>
      <c r="AO4" t="s">
        <v>102</v>
      </c>
      <c r="AP4" t="s">
        <v>102</v>
      </c>
      <c r="AQ4" t="s">
        <v>102</v>
      </c>
      <c r="AR4" t="s">
        <v>102</v>
      </c>
      <c r="AS4" t="s">
        <v>102</v>
      </c>
      <c r="AT4" t="s">
        <v>102</v>
      </c>
      <c r="AU4" t="s">
        <v>102</v>
      </c>
      <c r="AV4" t="s">
        <v>102</v>
      </c>
      <c r="AW4" t="s">
        <v>102</v>
      </c>
      <c r="AX4" t="s">
        <v>102</v>
      </c>
      <c r="AY4" t="s">
        <v>102</v>
      </c>
      <c r="AZ4" t="s">
        <v>102</v>
      </c>
      <c r="BA4" t="s">
        <v>102</v>
      </c>
      <c r="BB4" t="s">
        <v>102</v>
      </c>
      <c r="BC4" t="s">
        <v>102</v>
      </c>
      <c r="BD4" t="s">
        <v>102</v>
      </c>
      <c r="BE4" t="s">
        <v>102</v>
      </c>
      <c r="BF4" t="s">
        <v>102</v>
      </c>
      <c r="BG4" t="s">
        <v>103</v>
      </c>
      <c r="BH4" t="s">
        <v>102</v>
      </c>
      <c r="BI4" t="s">
        <v>102</v>
      </c>
      <c r="BJ4" t="s">
        <v>102</v>
      </c>
      <c r="BK4" t="s">
        <v>102</v>
      </c>
      <c r="BL4" t="s">
        <v>102</v>
      </c>
      <c r="BM4" t="s">
        <v>102</v>
      </c>
      <c r="BN4" t="s">
        <v>102</v>
      </c>
      <c r="BO4" t="s">
        <v>102</v>
      </c>
      <c r="BP4" t="s">
        <v>102</v>
      </c>
      <c r="BQ4" t="s">
        <v>102</v>
      </c>
      <c r="BR4" t="s">
        <v>102</v>
      </c>
      <c r="BS4" t="s">
        <v>102</v>
      </c>
      <c r="BT4" t="s">
        <v>102</v>
      </c>
      <c r="BU4" t="s">
        <v>102</v>
      </c>
      <c r="BV4" t="s">
        <v>102</v>
      </c>
      <c r="BW4" t="s">
        <v>102</v>
      </c>
      <c r="BX4" t="s">
        <v>102</v>
      </c>
      <c r="BY4" t="s">
        <v>102</v>
      </c>
      <c r="BZ4" t="s">
        <v>102</v>
      </c>
      <c r="CA4" t="s">
        <v>102</v>
      </c>
      <c r="CB4" t="s">
        <v>102</v>
      </c>
      <c r="CC4" t="s">
        <v>102</v>
      </c>
      <c r="CD4" t="s">
        <v>102</v>
      </c>
      <c r="CE4" t="s">
        <v>102</v>
      </c>
      <c r="CF4" t="s">
        <v>102</v>
      </c>
      <c r="CG4" t="s">
        <v>102</v>
      </c>
      <c r="CH4" t="s">
        <v>102</v>
      </c>
      <c r="CI4" t="s">
        <v>102</v>
      </c>
      <c r="CJ4" t="s">
        <v>102</v>
      </c>
      <c r="CK4" t="s">
        <v>102</v>
      </c>
      <c r="CL4" t="s">
        <v>102</v>
      </c>
      <c r="CM4" t="s">
        <v>102</v>
      </c>
      <c r="CN4" t="s">
        <v>102</v>
      </c>
      <c r="CO4" t="s">
        <v>102</v>
      </c>
      <c r="CP4" t="s">
        <v>102</v>
      </c>
      <c r="CQ4" t="s">
        <v>102</v>
      </c>
      <c r="CR4" t="s">
        <v>102</v>
      </c>
      <c r="CS4" t="s">
        <v>102</v>
      </c>
      <c r="CT4" t="s">
        <v>102</v>
      </c>
      <c r="CU4" t="s">
        <v>102</v>
      </c>
      <c r="CV4">
        <f t="shared" si="0"/>
        <v>0</v>
      </c>
      <c r="CW4">
        <f t="shared" si="0"/>
        <v>0</v>
      </c>
      <c r="CX4">
        <f t="shared" si="0"/>
        <v>0</v>
      </c>
      <c r="CY4">
        <f t="shared" si="0"/>
        <v>0</v>
      </c>
      <c r="CZ4">
        <f t="shared" si="0"/>
        <v>0</v>
      </c>
      <c r="DA4">
        <f t="shared" si="0"/>
        <v>0</v>
      </c>
      <c r="DB4">
        <f t="shared" si="0"/>
        <v>0</v>
      </c>
      <c r="DC4">
        <f t="shared" si="0"/>
        <v>0</v>
      </c>
      <c r="DD4">
        <f t="shared" si="0"/>
        <v>0</v>
      </c>
      <c r="DE4">
        <f t="shared" si="0"/>
        <v>0</v>
      </c>
      <c r="DF4">
        <f t="shared" si="1"/>
        <v>0</v>
      </c>
      <c r="DG4">
        <f t="shared" si="1"/>
        <v>0</v>
      </c>
      <c r="DH4">
        <f t="shared" si="1"/>
        <v>0</v>
      </c>
      <c r="DI4">
        <f t="shared" si="1"/>
        <v>0</v>
      </c>
      <c r="DJ4">
        <f t="shared" si="1"/>
        <v>0</v>
      </c>
      <c r="DK4">
        <f t="shared" si="1"/>
        <v>0</v>
      </c>
      <c r="DL4">
        <f t="shared" si="1"/>
        <v>0</v>
      </c>
      <c r="DM4">
        <f t="shared" si="1"/>
        <v>0</v>
      </c>
      <c r="DN4">
        <f t="shared" si="1"/>
        <v>0</v>
      </c>
      <c r="DO4">
        <f t="shared" si="1"/>
        <v>0</v>
      </c>
      <c r="DP4">
        <f t="shared" si="2"/>
        <v>0</v>
      </c>
      <c r="DQ4">
        <f t="shared" si="2"/>
        <v>0</v>
      </c>
      <c r="DR4">
        <f t="shared" si="2"/>
        <v>0</v>
      </c>
      <c r="DS4">
        <f t="shared" si="2"/>
        <v>0</v>
      </c>
      <c r="DT4">
        <f t="shared" si="2"/>
        <v>0</v>
      </c>
      <c r="DU4">
        <f t="shared" si="2"/>
        <v>0</v>
      </c>
      <c r="DV4">
        <f t="shared" si="2"/>
        <v>0</v>
      </c>
      <c r="DW4">
        <f t="shared" si="2"/>
        <v>0</v>
      </c>
      <c r="DX4">
        <f t="shared" si="2"/>
        <v>0</v>
      </c>
      <c r="DY4">
        <f t="shared" si="2"/>
        <v>0</v>
      </c>
      <c r="DZ4">
        <f t="shared" si="3"/>
        <v>0</v>
      </c>
      <c r="EA4">
        <f t="shared" si="3"/>
        <v>0</v>
      </c>
      <c r="EB4">
        <f t="shared" si="3"/>
        <v>0</v>
      </c>
      <c r="EC4">
        <f t="shared" si="3"/>
        <v>0</v>
      </c>
      <c r="ED4">
        <f t="shared" si="3"/>
        <v>0</v>
      </c>
      <c r="EE4">
        <f t="shared" si="3"/>
        <v>0</v>
      </c>
      <c r="EF4">
        <f t="shared" si="3"/>
        <v>0</v>
      </c>
      <c r="EG4">
        <f t="shared" si="3"/>
        <v>0</v>
      </c>
      <c r="EH4">
        <f t="shared" si="3"/>
        <v>0</v>
      </c>
      <c r="EI4">
        <f t="shared" si="3"/>
        <v>0</v>
      </c>
      <c r="EJ4">
        <f t="shared" si="4"/>
        <v>0</v>
      </c>
      <c r="EK4">
        <f t="shared" si="4"/>
        <v>0</v>
      </c>
      <c r="EL4">
        <f t="shared" si="4"/>
        <v>0</v>
      </c>
      <c r="EM4">
        <f t="shared" si="4"/>
        <v>0</v>
      </c>
      <c r="EN4">
        <f t="shared" si="4"/>
        <v>0</v>
      </c>
      <c r="EO4">
        <f t="shared" si="4"/>
        <v>0</v>
      </c>
      <c r="EP4">
        <f t="shared" si="4"/>
        <v>0</v>
      </c>
      <c r="EQ4">
        <f t="shared" si="4"/>
        <v>0</v>
      </c>
      <c r="ER4">
        <f t="shared" si="4"/>
        <v>0</v>
      </c>
      <c r="ES4">
        <f t="shared" si="4"/>
        <v>0</v>
      </c>
      <c r="ET4">
        <f t="shared" si="5"/>
        <v>0</v>
      </c>
      <c r="EU4">
        <f t="shared" si="5"/>
        <v>0</v>
      </c>
      <c r="EV4">
        <f t="shared" si="5"/>
        <v>0</v>
      </c>
      <c r="EW4">
        <f t="shared" si="5"/>
        <v>0</v>
      </c>
      <c r="EX4">
        <f t="shared" si="5"/>
        <v>0</v>
      </c>
      <c r="EY4">
        <f t="shared" si="5"/>
        <v>1</v>
      </c>
      <c r="EZ4">
        <f t="shared" si="5"/>
        <v>0</v>
      </c>
      <c r="FA4">
        <f t="shared" si="5"/>
        <v>0</v>
      </c>
      <c r="FB4">
        <f t="shared" si="5"/>
        <v>0</v>
      </c>
      <c r="FC4">
        <f t="shared" si="5"/>
        <v>0</v>
      </c>
      <c r="FD4">
        <f t="shared" si="6"/>
        <v>0</v>
      </c>
      <c r="FE4">
        <f t="shared" si="6"/>
        <v>0</v>
      </c>
      <c r="FF4">
        <f t="shared" si="6"/>
        <v>0</v>
      </c>
      <c r="FG4">
        <f t="shared" si="6"/>
        <v>0</v>
      </c>
      <c r="FH4">
        <f t="shared" si="6"/>
        <v>0</v>
      </c>
      <c r="FI4">
        <f t="shared" si="6"/>
        <v>0</v>
      </c>
      <c r="FJ4">
        <f t="shared" si="6"/>
        <v>0</v>
      </c>
      <c r="FK4">
        <f t="shared" si="6"/>
        <v>0</v>
      </c>
      <c r="FL4">
        <f t="shared" si="6"/>
        <v>0</v>
      </c>
      <c r="FM4">
        <f t="shared" si="6"/>
        <v>0</v>
      </c>
      <c r="FN4">
        <f t="shared" si="7"/>
        <v>0</v>
      </c>
      <c r="FO4">
        <f t="shared" si="7"/>
        <v>0</v>
      </c>
      <c r="FP4">
        <f t="shared" si="7"/>
        <v>0</v>
      </c>
      <c r="FQ4">
        <f t="shared" si="7"/>
        <v>0</v>
      </c>
      <c r="FR4">
        <f t="shared" si="7"/>
        <v>0</v>
      </c>
      <c r="FS4">
        <f t="shared" si="7"/>
        <v>0</v>
      </c>
      <c r="FT4">
        <f t="shared" si="7"/>
        <v>0</v>
      </c>
      <c r="FU4">
        <f t="shared" si="7"/>
        <v>0</v>
      </c>
      <c r="FV4">
        <f t="shared" si="7"/>
        <v>0</v>
      </c>
      <c r="FW4">
        <f t="shared" si="7"/>
        <v>0</v>
      </c>
      <c r="FX4">
        <f t="shared" si="8"/>
        <v>0</v>
      </c>
      <c r="FY4">
        <f t="shared" si="8"/>
        <v>0</v>
      </c>
      <c r="FZ4">
        <f t="shared" si="8"/>
        <v>0</v>
      </c>
      <c r="GA4">
        <f t="shared" si="8"/>
        <v>0</v>
      </c>
      <c r="GB4">
        <f t="shared" si="8"/>
        <v>0</v>
      </c>
      <c r="GC4">
        <f t="shared" si="8"/>
        <v>0</v>
      </c>
      <c r="GD4">
        <f t="shared" si="8"/>
        <v>0</v>
      </c>
      <c r="GE4">
        <f t="shared" si="8"/>
        <v>0</v>
      </c>
      <c r="GF4">
        <f t="shared" si="8"/>
        <v>0</v>
      </c>
      <c r="GG4">
        <f t="shared" si="8"/>
        <v>0</v>
      </c>
      <c r="GH4">
        <f t="shared" si="9"/>
        <v>0</v>
      </c>
      <c r="GI4">
        <f t="shared" si="9"/>
        <v>0</v>
      </c>
      <c r="GJ4">
        <f t="shared" si="9"/>
        <v>0</v>
      </c>
      <c r="GK4">
        <f t="shared" si="9"/>
        <v>0</v>
      </c>
      <c r="GL4">
        <f t="shared" si="9"/>
        <v>0</v>
      </c>
      <c r="GM4">
        <f t="shared" si="9"/>
        <v>0</v>
      </c>
      <c r="GN4">
        <f>SUM(CV4:GM4)</f>
        <v>1</v>
      </c>
    </row>
    <row r="5" spans="1:196" x14ac:dyDescent="0.2">
      <c r="A5" t="s">
        <v>99</v>
      </c>
      <c r="B5">
        <v>3539121</v>
      </c>
      <c r="C5" t="s">
        <v>101</v>
      </c>
      <c r="D5" t="s">
        <v>101</v>
      </c>
      <c r="E5" t="s">
        <v>101</v>
      </c>
      <c r="F5" t="s">
        <v>101</v>
      </c>
      <c r="G5" t="s">
        <v>101</v>
      </c>
      <c r="H5" t="s">
        <v>101</v>
      </c>
      <c r="I5" t="s">
        <v>101</v>
      </c>
      <c r="J5" t="s">
        <v>101</v>
      </c>
      <c r="K5" t="s">
        <v>101</v>
      </c>
      <c r="L5" t="s">
        <v>101</v>
      </c>
      <c r="M5" t="s">
        <v>101</v>
      </c>
      <c r="N5" t="s">
        <v>101</v>
      </c>
      <c r="O5" t="s">
        <v>101</v>
      </c>
      <c r="P5" t="s">
        <v>101</v>
      </c>
      <c r="Q5" t="s">
        <v>101</v>
      </c>
      <c r="R5" t="s">
        <v>101</v>
      </c>
      <c r="S5" t="s">
        <v>101</v>
      </c>
      <c r="T5" t="s">
        <v>101</v>
      </c>
      <c r="U5" t="s">
        <v>101</v>
      </c>
      <c r="V5" t="s">
        <v>101</v>
      </c>
      <c r="W5" t="s">
        <v>101</v>
      </c>
      <c r="X5" t="s">
        <v>101</v>
      </c>
      <c r="Y5" t="s">
        <v>101</v>
      </c>
      <c r="Z5" t="s">
        <v>101</v>
      </c>
      <c r="AA5" t="s">
        <v>101</v>
      </c>
      <c r="AB5" t="s">
        <v>101</v>
      </c>
      <c r="AC5" t="s">
        <v>101</v>
      </c>
      <c r="AD5" t="s">
        <v>101</v>
      </c>
      <c r="AE5" t="s">
        <v>101</v>
      </c>
      <c r="AF5" t="s">
        <v>101</v>
      </c>
      <c r="AG5" t="s">
        <v>101</v>
      </c>
      <c r="AH5" t="s">
        <v>101</v>
      </c>
      <c r="AI5" t="s">
        <v>101</v>
      </c>
      <c r="AJ5" t="s">
        <v>101</v>
      </c>
      <c r="AK5" t="s">
        <v>101</v>
      </c>
      <c r="AL5" t="s">
        <v>101</v>
      </c>
      <c r="AM5" t="s">
        <v>101</v>
      </c>
      <c r="AN5" t="s">
        <v>101</v>
      </c>
      <c r="AO5" t="s">
        <v>101</v>
      </c>
      <c r="AP5" t="s">
        <v>101</v>
      </c>
      <c r="AQ5" t="s">
        <v>101</v>
      </c>
      <c r="AR5" t="s">
        <v>101</v>
      </c>
      <c r="AS5" t="s">
        <v>101</v>
      </c>
      <c r="AT5" t="s">
        <v>101</v>
      </c>
      <c r="AU5" t="s">
        <v>101</v>
      </c>
      <c r="AV5" t="s">
        <v>101</v>
      </c>
      <c r="AW5" t="s">
        <v>101</v>
      </c>
      <c r="AX5" t="s">
        <v>101</v>
      </c>
      <c r="AY5" t="s">
        <v>101</v>
      </c>
      <c r="AZ5" t="s">
        <v>101</v>
      </c>
      <c r="BA5" t="s">
        <v>101</v>
      </c>
      <c r="BB5" t="s">
        <v>101</v>
      </c>
      <c r="BC5" t="s">
        <v>101</v>
      </c>
      <c r="BD5" t="s">
        <v>101</v>
      </c>
      <c r="BE5" t="s">
        <v>101</v>
      </c>
      <c r="BF5" t="s">
        <v>101</v>
      </c>
      <c r="BG5" t="s">
        <v>101</v>
      </c>
      <c r="BH5" t="s">
        <v>101</v>
      </c>
      <c r="BI5" t="s">
        <v>101</v>
      </c>
      <c r="BJ5" t="s">
        <v>101</v>
      </c>
      <c r="BK5" t="s">
        <v>101</v>
      </c>
      <c r="BL5" t="s">
        <v>101</v>
      </c>
      <c r="BM5" t="s">
        <v>101</v>
      </c>
      <c r="BN5" t="s">
        <v>101</v>
      </c>
      <c r="BO5" t="s">
        <v>101</v>
      </c>
      <c r="BP5" t="s">
        <v>101</v>
      </c>
      <c r="BQ5" t="s">
        <v>101</v>
      </c>
      <c r="BR5" t="s">
        <v>101</v>
      </c>
      <c r="BS5" t="s">
        <v>101</v>
      </c>
      <c r="BT5" t="s">
        <v>101</v>
      </c>
      <c r="BU5" t="s">
        <v>101</v>
      </c>
      <c r="BV5" t="s">
        <v>101</v>
      </c>
      <c r="BW5" t="s">
        <v>101</v>
      </c>
      <c r="BX5" t="s">
        <v>101</v>
      </c>
      <c r="BY5" t="s">
        <v>101</v>
      </c>
      <c r="BZ5" t="s">
        <v>101</v>
      </c>
      <c r="CA5" t="s">
        <v>101</v>
      </c>
      <c r="CB5" t="s">
        <v>101</v>
      </c>
      <c r="CC5" t="s">
        <v>101</v>
      </c>
      <c r="CD5" t="s">
        <v>101</v>
      </c>
      <c r="CE5" t="s">
        <v>101</v>
      </c>
      <c r="CF5" t="s">
        <v>101</v>
      </c>
      <c r="CG5" t="s">
        <v>101</v>
      </c>
      <c r="CH5" t="s">
        <v>101</v>
      </c>
      <c r="CI5" t="s">
        <v>101</v>
      </c>
      <c r="CJ5" t="s">
        <v>101</v>
      </c>
      <c r="CK5" t="s">
        <v>101</v>
      </c>
      <c r="CL5" t="s">
        <v>101</v>
      </c>
      <c r="CM5" t="s">
        <v>101</v>
      </c>
      <c r="CN5" t="s">
        <v>101</v>
      </c>
      <c r="CO5" t="s">
        <v>101</v>
      </c>
      <c r="CP5" t="s">
        <v>101</v>
      </c>
      <c r="CQ5" t="s">
        <v>101</v>
      </c>
      <c r="CR5" t="s">
        <v>101</v>
      </c>
      <c r="CS5" t="s">
        <v>101</v>
      </c>
      <c r="CT5" t="s">
        <v>100</v>
      </c>
      <c r="CU5" t="s">
        <v>101</v>
      </c>
      <c r="CV5">
        <f t="shared" si="0"/>
        <v>0</v>
      </c>
      <c r="CW5">
        <f t="shared" si="0"/>
        <v>0</v>
      </c>
      <c r="CX5">
        <f t="shared" si="0"/>
        <v>0</v>
      </c>
      <c r="CY5">
        <f t="shared" si="0"/>
        <v>0</v>
      </c>
      <c r="CZ5">
        <f t="shared" si="0"/>
        <v>0</v>
      </c>
      <c r="DA5">
        <f t="shared" si="0"/>
        <v>0</v>
      </c>
      <c r="DB5">
        <f t="shared" si="0"/>
        <v>0</v>
      </c>
      <c r="DC5">
        <f t="shared" si="0"/>
        <v>0</v>
      </c>
      <c r="DD5">
        <f t="shared" si="0"/>
        <v>0</v>
      </c>
      <c r="DE5">
        <f t="shared" si="0"/>
        <v>0</v>
      </c>
      <c r="DF5">
        <f t="shared" si="1"/>
        <v>0</v>
      </c>
      <c r="DG5">
        <f t="shared" si="1"/>
        <v>0</v>
      </c>
      <c r="DH5">
        <f t="shared" si="1"/>
        <v>0</v>
      </c>
      <c r="DI5">
        <f t="shared" si="1"/>
        <v>0</v>
      </c>
      <c r="DJ5">
        <f t="shared" si="1"/>
        <v>0</v>
      </c>
      <c r="DK5">
        <f t="shared" si="1"/>
        <v>0</v>
      </c>
      <c r="DL5">
        <f t="shared" si="1"/>
        <v>0</v>
      </c>
      <c r="DM5">
        <f t="shared" si="1"/>
        <v>0</v>
      </c>
      <c r="DN5">
        <f t="shared" si="1"/>
        <v>0</v>
      </c>
      <c r="DO5">
        <f t="shared" si="1"/>
        <v>0</v>
      </c>
      <c r="DP5">
        <f t="shared" si="2"/>
        <v>0</v>
      </c>
      <c r="DQ5">
        <f t="shared" si="2"/>
        <v>0</v>
      </c>
      <c r="DR5">
        <f t="shared" si="2"/>
        <v>0</v>
      </c>
      <c r="DS5">
        <f t="shared" si="2"/>
        <v>0</v>
      </c>
      <c r="DT5">
        <f t="shared" si="2"/>
        <v>0</v>
      </c>
      <c r="DU5">
        <f t="shared" si="2"/>
        <v>0</v>
      </c>
      <c r="DV5">
        <f t="shared" si="2"/>
        <v>0</v>
      </c>
      <c r="DW5">
        <f t="shared" si="2"/>
        <v>0</v>
      </c>
      <c r="DX5">
        <f t="shared" si="2"/>
        <v>0</v>
      </c>
      <c r="DY5">
        <f t="shared" si="2"/>
        <v>0</v>
      </c>
      <c r="DZ5">
        <f t="shared" si="3"/>
        <v>0</v>
      </c>
      <c r="EA5">
        <f t="shared" si="3"/>
        <v>0</v>
      </c>
      <c r="EB5">
        <f t="shared" si="3"/>
        <v>0</v>
      </c>
      <c r="EC5">
        <f t="shared" si="3"/>
        <v>0</v>
      </c>
      <c r="ED5">
        <f t="shared" si="3"/>
        <v>0</v>
      </c>
      <c r="EE5">
        <f t="shared" si="3"/>
        <v>0</v>
      </c>
      <c r="EF5">
        <f t="shared" si="3"/>
        <v>0</v>
      </c>
      <c r="EG5">
        <f t="shared" si="3"/>
        <v>0</v>
      </c>
      <c r="EH5">
        <f t="shared" si="3"/>
        <v>0</v>
      </c>
      <c r="EI5">
        <f t="shared" si="3"/>
        <v>0</v>
      </c>
      <c r="EJ5">
        <f t="shared" si="4"/>
        <v>0</v>
      </c>
      <c r="EK5">
        <f t="shared" si="4"/>
        <v>0</v>
      </c>
      <c r="EL5">
        <f t="shared" si="4"/>
        <v>0</v>
      </c>
      <c r="EM5">
        <f t="shared" si="4"/>
        <v>0</v>
      </c>
      <c r="EN5">
        <f t="shared" si="4"/>
        <v>0</v>
      </c>
      <c r="EO5">
        <f t="shared" si="4"/>
        <v>0</v>
      </c>
      <c r="EP5">
        <f t="shared" si="4"/>
        <v>0</v>
      </c>
      <c r="EQ5">
        <f t="shared" si="4"/>
        <v>0</v>
      </c>
      <c r="ER5">
        <f t="shared" si="4"/>
        <v>0</v>
      </c>
      <c r="ES5">
        <f t="shared" si="4"/>
        <v>0</v>
      </c>
      <c r="ET5">
        <f t="shared" si="5"/>
        <v>0</v>
      </c>
      <c r="EU5">
        <f t="shared" si="5"/>
        <v>0</v>
      </c>
      <c r="EV5">
        <f t="shared" si="5"/>
        <v>0</v>
      </c>
      <c r="EW5">
        <f t="shared" si="5"/>
        <v>0</v>
      </c>
      <c r="EX5">
        <f t="shared" si="5"/>
        <v>0</v>
      </c>
      <c r="EY5">
        <f t="shared" si="5"/>
        <v>0</v>
      </c>
      <c r="EZ5">
        <f t="shared" si="5"/>
        <v>0</v>
      </c>
      <c r="FA5">
        <f t="shared" si="5"/>
        <v>0</v>
      </c>
      <c r="FB5">
        <f t="shared" si="5"/>
        <v>0</v>
      </c>
      <c r="FC5">
        <f t="shared" si="5"/>
        <v>0</v>
      </c>
      <c r="FD5">
        <f t="shared" si="6"/>
        <v>0</v>
      </c>
      <c r="FE5">
        <f t="shared" si="6"/>
        <v>0</v>
      </c>
      <c r="FF5">
        <f t="shared" si="6"/>
        <v>0</v>
      </c>
      <c r="FG5">
        <f t="shared" si="6"/>
        <v>0</v>
      </c>
      <c r="FH5">
        <f t="shared" si="6"/>
        <v>0</v>
      </c>
      <c r="FI5">
        <f t="shared" si="6"/>
        <v>0</v>
      </c>
      <c r="FJ5">
        <f t="shared" si="6"/>
        <v>0</v>
      </c>
      <c r="FK5">
        <f t="shared" si="6"/>
        <v>0</v>
      </c>
      <c r="FL5">
        <f t="shared" si="6"/>
        <v>0</v>
      </c>
      <c r="FM5">
        <f t="shared" si="6"/>
        <v>0</v>
      </c>
      <c r="FN5">
        <f t="shared" si="7"/>
        <v>0</v>
      </c>
      <c r="FO5">
        <f t="shared" si="7"/>
        <v>0</v>
      </c>
      <c r="FP5">
        <f t="shared" si="7"/>
        <v>0</v>
      </c>
      <c r="FQ5">
        <f t="shared" si="7"/>
        <v>0</v>
      </c>
      <c r="FR5">
        <f t="shared" si="7"/>
        <v>0</v>
      </c>
      <c r="FS5">
        <f t="shared" si="7"/>
        <v>0</v>
      </c>
      <c r="FT5">
        <f t="shared" si="7"/>
        <v>0</v>
      </c>
      <c r="FU5">
        <f t="shared" si="7"/>
        <v>0</v>
      </c>
      <c r="FV5">
        <f t="shared" si="7"/>
        <v>0</v>
      </c>
      <c r="FW5">
        <f t="shared" si="7"/>
        <v>0</v>
      </c>
      <c r="FX5">
        <f t="shared" si="8"/>
        <v>0</v>
      </c>
      <c r="FY5">
        <f t="shared" si="8"/>
        <v>0</v>
      </c>
      <c r="FZ5">
        <f t="shared" si="8"/>
        <v>0</v>
      </c>
      <c r="GA5">
        <f t="shared" si="8"/>
        <v>0</v>
      </c>
      <c r="GB5">
        <f t="shared" si="8"/>
        <v>0</v>
      </c>
      <c r="GC5">
        <f t="shared" si="8"/>
        <v>0</v>
      </c>
      <c r="GD5">
        <f t="shared" si="8"/>
        <v>0</v>
      </c>
      <c r="GE5">
        <f t="shared" si="8"/>
        <v>0</v>
      </c>
      <c r="GF5">
        <f t="shared" si="8"/>
        <v>0</v>
      </c>
      <c r="GG5">
        <f t="shared" si="8"/>
        <v>0</v>
      </c>
      <c r="GH5">
        <f t="shared" si="9"/>
        <v>0</v>
      </c>
      <c r="GI5">
        <f t="shared" si="9"/>
        <v>0</v>
      </c>
      <c r="GJ5">
        <f t="shared" si="9"/>
        <v>0</v>
      </c>
      <c r="GK5">
        <f t="shared" si="9"/>
        <v>0</v>
      </c>
      <c r="GL5">
        <f t="shared" si="9"/>
        <v>1</v>
      </c>
      <c r="GM5">
        <f t="shared" si="9"/>
        <v>0</v>
      </c>
      <c r="GN5">
        <f>SUM(CV5:GM5)</f>
        <v>1</v>
      </c>
    </row>
    <row r="12" spans="1:196" x14ac:dyDescent="0.2">
      <c r="CV12">
        <f t="shared" ref="CV12:EA12" si="10">SUM(CV2:CV5)</f>
        <v>2</v>
      </c>
      <c r="CW12">
        <f t="shared" si="10"/>
        <v>0</v>
      </c>
      <c r="CX12">
        <f t="shared" si="10"/>
        <v>0</v>
      </c>
      <c r="CY12">
        <f t="shared" si="10"/>
        <v>0</v>
      </c>
      <c r="CZ12">
        <f t="shared" si="10"/>
        <v>0</v>
      </c>
      <c r="DA12">
        <f t="shared" si="10"/>
        <v>0</v>
      </c>
      <c r="DB12">
        <f t="shared" si="10"/>
        <v>0</v>
      </c>
      <c r="DC12">
        <f t="shared" si="10"/>
        <v>0</v>
      </c>
      <c r="DD12">
        <f t="shared" si="10"/>
        <v>0</v>
      </c>
      <c r="DE12">
        <f t="shared" si="10"/>
        <v>0</v>
      </c>
      <c r="DF12">
        <f t="shared" si="10"/>
        <v>0</v>
      </c>
      <c r="DG12">
        <f t="shared" si="10"/>
        <v>0</v>
      </c>
      <c r="DH12">
        <f t="shared" si="10"/>
        <v>0</v>
      </c>
      <c r="DI12">
        <f t="shared" si="10"/>
        <v>0</v>
      </c>
      <c r="DJ12">
        <f t="shared" si="10"/>
        <v>0</v>
      </c>
      <c r="DK12">
        <f t="shared" si="10"/>
        <v>0</v>
      </c>
      <c r="DL12">
        <f t="shared" si="10"/>
        <v>0</v>
      </c>
      <c r="DM12">
        <f t="shared" si="10"/>
        <v>0</v>
      </c>
      <c r="DN12">
        <f t="shared" si="10"/>
        <v>0</v>
      </c>
      <c r="DO12">
        <f t="shared" si="10"/>
        <v>0</v>
      </c>
      <c r="DP12">
        <f t="shared" si="10"/>
        <v>0</v>
      </c>
      <c r="DQ12">
        <f t="shared" si="10"/>
        <v>0</v>
      </c>
      <c r="DR12">
        <f t="shared" si="10"/>
        <v>0</v>
      </c>
      <c r="DS12">
        <f t="shared" si="10"/>
        <v>0</v>
      </c>
      <c r="DT12">
        <f t="shared" si="10"/>
        <v>0</v>
      </c>
      <c r="DU12">
        <f t="shared" si="10"/>
        <v>0</v>
      </c>
      <c r="DV12">
        <f t="shared" si="10"/>
        <v>0</v>
      </c>
      <c r="DW12">
        <f t="shared" si="10"/>
        <v>0</v>
      </c>
      <c r="DX12">
        <f t="shared" si="10"/>
        <v>0</v>
      </c>
      <c r="DY12">
        <f t="shared" si="10"/>
        <v>0</v>
      </c>
      <c r="DZ12">
        <f t="shared" si="10"/>
        <v>0</v>
      </c>
      <c r="EA12">
        <f t="shared" si="10"/>
        <v>0</v>
      </c>
      <c r="EB12">
        <f t="shared" ref="EB12:FG12" si="11">SUM(EB2:EB5)</f>
        <v>0</v>
      </c>
      <c r="EC12">
        <f t="shared" si="11"/>
        <v>0</v>
      </c>
      <c r="ED12">
        <f t="shared" si="11"/>
        <v>0</v>
      </c>
      <c r="EE12">
        <f t="shared" si="11"/>
        <v>0</v>
      </c>
      <c r="EF12">
        <f t="shared" si="11"/>
        <v>0</v>
      </c>
      <c r="EG12">
        <f t="shared" si="11"/>
        <v>0</v>
      </c>
      <c r="EH12">
        <f t="shared" si="11"/>
        <v>0</v>
      </c>
      <c r="EI12">
        <f t="shared" si="11"/>
        <v>0</v>
      </c>
      <c r="EJ12">
        <f t="shared" si="11"/>
        <v>0</v>
      </c>
      <c r="EK12">
        <f t="shared" si="11"/>
        <v>0</v>
      </c>
      <c r="EL12">
        <f t="shared" si="11"/>
        <v>0</v>
      </c>
      <c r="EM12">
        <f t="shared" si="11"/>
        <v>0</v>
      </c>
      <c r="EN12">
        <f t="shared" si="11"/>
        <v>0</v>
      </c>
      <c r="EO12">
        <f t="shared" si="11"/>
        <v>0</v>
      </c>
      <c r="EP12">
        <f t="shared" si="11"/>
        <v>0</v>
      </c>
      <c r="EQ12">
        <f t="shared" si="11"/>
        <v>0</v>
      </c>
      <c r="ER12">
        <f t="shared" si="11"/>
        <v>0</v>
      </c>
      <c r="ES12">
        <f t="shared" si="11"/>
        <v>0</v>
      </c>
      <c r="ET12">
        <f t="shared" si="11"/>
        <v>0</v>
      </c>
      <c r="EU12">
        <f t="shared" si="11"/>
        <v>0</v>
      </c>
      <c r="EV12">
        <f t="shared" si="11"/>
        <v>0</v>
      </c>
      <c r="EW12">
        <f t="shared" si="11"/>
        <v>0</v>
      </c>
      <c r="EX12">
        <f t="shared" si="11"/>
        <v>0</v>
      </c>
      <c r="EY12">
        <f t="shared" si="11"/>
        <v>1</v>
      </c>
      <c r="EZ12">
        <f t="shared" si="11"/>
        <v>0</v>
      </c>
      <c r="FA12">
        <f t="shared" si="11"/>
        <v>0</v>
      </c>
      <c r="FB12">
        <f t="shared" si="11"/>
        <v>0</v>
      </c>
      <c r="FC12">
        <f t="shared" si="11"/>
        <v>0</v>
      </c>
      <c r="FD12">
        <f t="shared" si="11"/>
        <v>0</v>
      </c>
      <c r="FE12">
        <f t="shared" si="11"/>
        <v>0</v>
      </c>
      <c r="FF12">
        <f t="shared" si="11"/>
        <v>0</v>
      </c>
      <c r="FG12">
        <f t="shared" si="11"/>
        <v>0</v>
      </c>
      <c r="FH12">
        <f t="shared" ref="FH12:GM12" si="12">SUM(FH2:FH5)</f>
        <v>0</v>
      </c>
      <c r="FI12">
        <f t="shared" si="12"/>
        <v>0</v>
      </c>
      <c r="FJ12">
        <f t="shared" si="12"/>
        <v>0</v>
      </c>
      <c r="FK12">
        <f t="shared" si="12"/>
        <v>0</v>
      </c>
      <c r="FL12">
        <f t="shared" si="12"/>
        <v>0</v>
      </c>
      <c r="FM12">
        <f t="shared" si="12"/>
        <v>0</v>
      </c>
      <c r="FN12">
        <f t="shared" si="12"/>
        <v>0</v>
      </c>
      <c r="FO12">
        <f t="shared" si="12"/>
        <v>0</v>
      </c>
      <c r="FP12">
        <f t="shared" si="12"/>
        <v>0</v>
      </c>
      <c r="FQ12">
        <f t="shared" si="12"/>
        <v>0</v>
      </c>
      <c r="FR12">
        <f t="shared" si="12"/>
        <v>0</v>
      </c>
      <c r="FS12">
        <f t="shared" si="12"/>
        <v>0</v>
      </c>
      <c r="FT12">
        <f t="shared" si="12"/>
        <v>0</v>
      </c>
      <c r="FU12">
        <f t="shared" si="12"/>
        <v>0</v>
      </c>
      <c r="FV12">
        <f t="shared" si="12"/>
        <v>0</v>
      </c>
      <c r="FW12">
        <f t="shared" si="12"/>
        <v>0</v>
      </c>
      <c r="FX12">
        <f t="shared" si="12"/>
        <v>0</v>
      </c>
      <c r="FY12">
        <f t="shared" si="12"/>
        <v>0</v>
      </c>
      <c r="FZ12">
        <f t="shared" si="12"/>
        <v>0</v>
      </c>
      <c r="GA12">
        <f t="shared" si="12"/>
        <v>0</v>
      </c>
      <c r="GB12">
        <f t="shared" si="12"/>
        <v>0</v>
      </c>
      <c r="GC12">
        <f t="shared" si="12"/>
        <v>0</v>
      </c>
      <c r="GD12">
        <f t="shared" si="12"/>
        <v>0</v>
      </c>
      <c r="GE12">
        <f t="shared" si="12"/>
        <v>0</v>
      </c>
      <c r="GF12">
        <f t="shared" si="12"/>
        <v>0</v>
      </c>
      <c r="GG12">
        <f t="shared" si="12"/>
        <v>0</v>
      </c>
      <c r="GH12">
        <f t="shared" si="12"/>
        <v>0</v>
      </c>
      <c r="GI12">
        <f t="shared" si="12"/>
        <v>0</v>
      </c>
      <c r="GJ12">
        <f t="shared" si="12"/>
        <v>0</v>
      </c>
      <c r="GK12">
        <f t="shared" si="12"/>
        <v>0</v>
      </c>
      <c r="GL12">
        <f t="shared" si="12"/>
        <v>1</v>
      </c>
      <c r="GM12">
        <f t="shared" si="12"/>
        <v>0</v>
      </c>
    </row>
  </sheetData>
  <autoFilter ref="A1:GN5" xr:uid="{00000000-0009-0000-0000-000000000000}">
    <sortState xmlns:xlrd2="http://schemas.microsoft.com/office/spreadsheetml/2017/richdata2" ref="A2:GN5">
      <sortCondition ref="B1:B5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820DB-9E88-7842-BFA5-CC064859847E}">
  <dimension ref="A1:X97"/>
  <sheetViews>
    <sheetView tabSelected="1" workbookViewId="0">
      <selection activeCell="F6" sqref="F6"/>
    </sheetView>
  </sheetViews>
  <sheetFormatPr baseColWidth="10" defaultRowHeight="16" x14ac:dyDescent="0.2"/>
  <sheetData>
    <row r="1" spans="1:24" x14ac:dyDescent="0.2"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</row>
    <row r="2" spans="1:24" x14ac:dyDescent="0.2">
      <c r="A2">
        <v>1</v>
      </c>
      <c r="B2" t="s">
        <v>128</v>
      </c>
      <c r="D2" t="s">
        <v>100</v>
      </c>
      <c r="E2" s="8" t="s">
        <v>128</v>
      </c>
      <c r="F2" s="7" t="s">
        <v>138</v>
      </c>
      <c r="G2" s="7" t="s">
        <v>131</v>
      </c>
      <c r="H2" s="7" t="s">
        <v>141</v>
      </c>
      <c r="I2" s="7" t="s">
        <v>129</v>
      </c>
      <c r="J2" s="7" t="s">
        <v>143</v>
      </c>
      <c r="K2" s="7" t="s">
        <v>128</v>
      </c>
      <c r="L2" s="7" t="s">
        <v>141</v>
      </c>
      <c r="M2" s="7" t="s">
        <v>134</v>
      </c>
      <c r="N2" s="7" t="s">
        <v>139</v>
      </c>
      <c r="O2" s="7" t="s">
        <v>130</v>
      </c>
      <c r="P2" s="8" t="s">
        <v>147</v>
      </c>
      <c r="R2" s="7" t="s">
        <v>149</v>
      </c>
      <c r="S2" s="7" t="s">
        <v>150</v>
      </c>
      <c r="T2" s="7" t="s">
        <v>152</v>
      </c>
      <c r="U2" s="7" t="s">
        <v>153</v>
      </c>
      <c r="V2" s="7" t="s">
        <v>154</v>
      </c>
      <c r="W2" s="7" t="s">
        <v>155</v>
      </c>
    </row>
    <row r="3" spans="1:24" x14ac:dyDescent="0.2">
      <c r="A3">
        <v>2</v>
      </c>
      <c r="B3" t="s">
        <v>128</v>
      </c>
      <c r="D3" t="s">
        <v>122</v>
      </c>
      <c r="E3" s="8" t="s">
        <v>130</v>
      </c>
      <c r="F3" s="7" t="s">
        <v>143</v>
      </c>
      <c r="G3" s="7" t="s">
        <v>132</v>
      </c>
      <c r="H3" s="7" t="s">
        <v>140</v>
      </c>
      <c r="I3" s="7" t="s">
        <v>135</v>
      </c>
      <c r="J3" s="7" t="s">
        <v>139</v>
      </c>
      <c r="K3" s="7" t="s">
        <v>132</v>
      </c>
      <c r="L3" s="7" t="s">
        <v>147</v>
      </c>
      <c r="M3" s="7" t="s">
        <v>132</v>
      </c>
      <c r="N3" s="7" t="s">
        <v>141</v>
      </c>
      <c r="O3" s="7" t="s">
        <v>135</v>
      </c>
      <c r="P3" s="8" t="s">
        <v>148</v>
      </c>
      <c r="R3" t="s">
        <v>128</v>
      </c>
      <c r="S3" t="s">
        <v>127</v>
      </c>
      <c r="T3">
        <v>0</v>
      </c>
      <c r="U3">
        <v>0</v>
      </c>
      <c r="V3">
        <v>1</v>
      </c>
    </row>
    <row r="4" spans="1:24" x14ac:dyDescent="0.2">
      <c r="A4">
        <v>3</v>
      </c>
      <c r="B4" t="s">
        <v>128</v>
      </c>
      <c r="D4" t="s">
        <v>102</v>
      </c>
      <c r="E4" s="8" t="s">
        <v>131</v>
      </c>
      <c r="F4" s="7" t="s">
        <v>142</v>
      </c>
      <c r="G4" s="7" t="s">
        <v>133</v>
      </c>
      <c r="H4" s="7" t="s">
        <v>148</v>
      </c>
      <c r="I4" s="7" t="s">
        <v>128</v>
      </c>
      <c r="J4" s="7" t="s">
        <v>141</v>
      </c>
      <c r="K4" s="7" t="s">
        <v>129</v>
      </c>
      <c r="L4" s="7" t="s">
        <v>148</v>
      </c>
      <c r="M4" s="7" t="s">
        <v>131</v>
      </c>
      <c r="N4" s="7" t="s">
        <v>142</v>
      </c>
      <c r="O4" s="7" t="s">
        <v>131</v>
      </c>
      <c r="P4" s="8" t="s">
        <v>138</v>
      </c>
      <c r="R4" t="s">
        <v>130</v>
      </c>
      <c r="S4" t="s">
        <v>127</v>
      </c>
      <c r="T4">
        <v>0</v>
      </c>
      <c r="U4">
        <v>0</v>
      </c>
      <c r="V4">
        <v>0</v>
      </c>
      <c r="W4">
        <v>0</v>
      </c>
    </row>
    <row r="5" spans="1:24" x14ac:dyDescent="0.2">
      <c r="A5">
        <v>4</v>
      </c>
      <c r="B5" t="s">
        <v>128</v>
      </c>
      <c r="D5" t="s">
        <v>123</v>
      </c>
      <c r="E5" s="8" t="s">
        <v>129</v>
      </c>
      <c r="F5" s="7" t="s">
        <v>148</v>
      </c>
      <c r="G5" s="7" t="s">
        <v>128</v>
      </c>
      <c r="H5" s="7" t="s">
        <v>142</v>
      </c>
      <c r="I5" s="7" t="s">
        <v>131</v>
      </c>
      <c r="J5" s="7" t="s">
        <v>147</v>
      </c>
      <c r="K5" s="7" t="s">
        <v>134</v>
      </c>
      <c r="L5" s="7" t="s">
        <v>143</v>
      </c>
      <c r="M5" s="7" t="s">
        <v>133</v>
      </c>
      <c r="N5" s="7" t="s">
        <v>140</v>
      </c>
      <c r="O5" s="7" t="s">
        <v>134</v>
      </c>
      <c r="P5" s="8" t="s">
        <v>139</v>
      </c>
      <c r="R5" t="s">
        <v>131</v>
      </c>
      <c r="S5" t="s">
        <v>127</v>
      </c>
      <c r="T5">
        <v>0</v>
      </c>
      <c r="U5">
        <v>0</v>
      </c>
      <c r="V5">
        <v>0</v>
      </c>
      <c r="W5">
        <v>0</v>
      </c>
    </row>
    <row r="6" spans="1:24" x14ac:dyDescent="0.2">
      <c r="A6">
        <v>5</v>
      </c>
      <c r="B6" t="s">
        <v>128</v>
      </c>
      <c r="D6" t="s">
        <v>144</v>
      </c>
      <c r="E6" s="8" t="s">
        <v>132</v>
      </c>
      <c r="F6" s="7" t="s">
        <v>147</v>
      </c>
      <c r="G6" s="7" t="s">
        <v>129</v>
      </c>
      <c r="H6" s="7" t="s">
        <v>138</v>
      </c>
      <c r="I6" s="7" t="s">
        <v>134</v>
      </c>
      <c r="J6" s="7" t="s">
        <v>140</v>
      </c>
      <c r="K6" s="7" t="s">
        <v>135</v>
      </c>
      <c r="L6" s="7" t="s">
        <v>140</v>
      </c>
      <c r="M6" s="7" t="s">
        <v>129</v>
      </c>
      <c r="N6" s="7" t="s">
        <v>147</v>
      </c>
      <c r="O6" s="7" t="s">
        <v>128</v>
      </c>
      <c r="P6" s="8" t="s">
        <v>140</v>
      </c>
      <c r="R6" t="s">
        <v>129</v>
      </c>
      <c r="S6" t="s">
        <v>127</v>
      </c>
      <c r="T6">
        <v>1</v>
      </c>
      <c r="U6">
        <v>1</v>
      </c>
      <c r="V6">
        <v>0</v>
      </c>
      <c r="W6">
        <v>0</v>
      </c>
    </row>
    <row r="7" spans="1:24" x14ac:dyDescent="0.2">
      <c r="A7">
        <v>6</v>
      </c>
      <c r="B7" t="s">
        <v>128</v>
      </c>
      <c r="D7" t="s">
        <v>145</v>
      </c>
      <c r="E7" s="8" t="s">
        <v>133</v>
      </c>
      <c r="F7" s="7" t="s">
        <v>139</v>
      </c>
      <c r="G7" s="7" t="s">
        <v>135</v>
      </c>
      <c r="H7" s="7" t="s">
        <v>139</v>
      </c>
      <c r="I7" s="7" t="s">
        <v>133</v>
      </c>
      <c r="J7" s="7" t="s">
        <v>148</v>
      </c>
      <c r="K7" s="7" t="s">
        <v>131</v>
      </c>
      <c r="L7" s="7" t="s">
        <v>139</v>
      </c>
      <c r="M7" s="7" t="s">
        <v>130</v>
      </c>
      <c r="N7" s="7" t="s">
        <v>138</v>
      </c>
      <c r="O7" s="7" t="s">
        <v>132</v>
      </c>
      <c r="P7" s="8" t="s">
        <v>141</v>
      </c>
      <c r="R7" t="s">
        <v>132</v>
      </c>
      <c r="S7" t="s">
        <v>127</v>
      </c>
      <c r="T7">
        <v>2</v>
      </c>
      <c r="U7">
        <v>2</v>
      </c>
      <c r="V7">
        <v>0</v>
      </c>
      <c r="W7">
        <v>0</v>
      </c>
    </row>
    <row r="8" spans="1:24" x14ac:dyDescent="0.2">
      <c r="A8">
        <v>7</v>
      </c>
      <c r="B8" t="s">
        <v>130</v>
      </c>
      <c r="D8" t="s">
        <v>101</v>
      </c>
      <c r="E8" s="8" t="s">
        <v>134</v>
      </c>
      <c r="F8" s="7" t="s">
        <v>141</v>
      </c>
      <c r="G8" s="7" t="s">
        <v>134</v>
      </c>
      <c r="H8" s="7" t="s">
        <v>143</v>
      </c>
      <c r="I8" s="7" t="s">
        <v>130</v>
      </c>
      <c r="J8" s="7" t="s">
        <v>138</v>
      </c>
      <c r="K8" s="7" t="s">
        <v>130</v>
      </c>
      <c r="L8" s="7" t="s">
        <v>138</v>
      </c>
      <c r="M8" s="7" t="s">
        <v>128</v>
      </c>
      <c r="N8" s="7" t="s">
        <v>143</v>
      </c>
      <c r="O8" s="7" t="s">
        <v>129</v>
      </c>
      <c r="P8" s="8" t="s">
        <v>142</v>
      </c>
      <c r="R8" t="s">
        <v>133</v>
      </c>
      <c r="S8" t="s">
        <v>127</v>
      </c>
      <c r="T8">
        <v>2</v>
      </c>
      <c r="U8">
        <v>2</v>
      </c>
      <c r="V8">
        <v>0</v>
      </c>
      <c r="W8">
        <v>0</v>
      </c>
    </row>
    <row r="9" spans="1:24" x14ac:dyDescent="0.2">
      <c r="A9">
        <v>8</v>
      </c>
      <c r="B9" t="s">
        <v>130</v>
      </c>
      <c r="D9" t="s">
        <v>146</v>
      </c>
      <c r="E9" s="8" t="s">
        <v>135</v>
      </c>
      <c r="F9" s="7" t="s">
        <v>140</v>
      </c>
      <c r="G9" s="7" t="s">
        <v>130</v>
      </c>
      <c r="H9" s="7" t="s">
        <v>147</v>
      </c>
      <c r="I9" s="7" t="s">
        <v>132</v>
      </c>
      <c r="J9" s="7" t="s">
        <v>142</v>
      </c>
      <c r="K9" s="7" t="s">
        <v>133</v>
      </c>
      <c r="L9" s="7" t="s">
        <v>142</v>
      </c>
      <c r="M9" s="7" t="s">
        <v>135</v>
      </c>
      <c r="N9" s="7" t="s">
        <v>148</v>
      </c>
      <c r="O9" s="7" t="s">
        <v>133</v>
      </c>
      <c r="P9" s="8" t="s">
        <v>143</v>
      </c>
      <c r="R9" t="s">
        <v>134</v>
      </c>
      <c r="S9" t="s">
        <v>127</v>
      </c>
      <c r="T9">
        <v>1</v>
      </c>
      <c r="U9">
        <v>1</v>
      </c>
      <c r="V9">
        <v>0</v>
      </c>
      <c r="W9">
        <v>0</v>
      </c>
    </row>
    <row r="10" spans="1:24" x14ac:dyDescent="0.2">
      <c r="A10">
        <v>9</v>
      </c>
      <c r="B10" t="s">
        <v>130</v>
      </c>
      <c r="R10" t="s">
        <v>135</v>
      </c>
      <c r="S10" t="s">
        <v>127</v>
      </c>
      <c r="T10">
        <v>0</v>
      </c>
      <c r="U10">
        <v>0</v>
      </c>
      <c r="V10">
        <v>3</v>
      </c>
      <c r="W10">
        <v>1</v>
      </c>
    </row>
    <row r="11" spans="1:24" x14ac:dyDescent="0.2">
      <c r="A11">
        <v>10</v>
      </c>
      <c r="B11" t="s">
        <v>130</v>
      </c>
      <c r="R11" t="s">
        <v>147</v>
      </c>
      <c r="S11" t="s">
        <v>127</v>
      </c>
      <c r="T11">
        <v>1</v>
      </c>
      <c r="U11">
        <v>1</v>
      </c>
      <c r="V11">
        <v>0</v>
      </c>
      <c r="W11">
        <v>0</v>
      </c>
    </row>
    <row r="12" spans="1:24" x14ac:dyDescent="0.2">
      <c r="A12">
        <v>11</v>
      </c>
      <c r="B12" t="s">
        <v>130</v>
      </c>
      <c r="R12" t="s">
        <v>148</v>
      </c>
      <c r="S12" t="s">
        <v>127</v>
      </c>
      <c r="T12">
        <v>2</v>
      </c>
      <c r="U12">
        <v>1</v>
      </c>
      <c r="V12">
        <v>0</v>
      </c>
      <c r="W12">
        <v>0</v>
      </c>
      <c r="X12" t="s">
        <v>156</v>
      </c>
    </row>
    <row r="13" spans="1:24" x14ac:dyDescent="0.2">
      <c r="A13">
        <v>12</v>
      </c>
      <c r="B13" t="s">
        <v>130</v>
      </c>
      <c r="R13" t="s">
        <v>138</v>
      </c>
      <c r="S13" t="s">
        <v>151</v>
      </c>
      <c r="T13">
        <v>0</v>
      </c>
      <c r="U13">
        <v>0</v>
      </c>
      <c r="V13">
        <v>0</v>
      </c>
      <c r="W13">
        <v>0</v>
      </c>
    </row>
    <row r="14" spans="1:24" x14ac:dyDescent="0.2">
      <c r="A14">
        <v>13</v>
      </c>
      <c r="B14" t="s">
        <v>131</v>
      </c>
      <c r="R14" t="s">
        <v>139</v>
      </c>
      <c r="S14" t="s">
        <v>151</v>
      </c>
      <c r="T14">
        <v>0</v>
      </c>
      <c r="U14">
        <v>0</v>
      </c>
      <c r="V14">
        <v>0</v>
      </c>
      <c r="W14">
        <v>0</v>
      </c>
    </row>
    <row r="15" spans="1:24" x14ac:dyDescent="0.2">
      <c r="A15">
        <v>14</v>
      </c>
      <c r="B15" t="s">
        <v>131</v>
      </c>
      <c r="R15" t="s">
        <v>140</v>
      </c>
      <c r="S15" t="s">
        <v>151</v>
      </c>
      <c r="T15">
        <v>0</v>
      </c>
      <c r="U15">
        <v>0</v>
      </c>
      <c r="V15">
        <v>0</v>
      </c>
      <c r="W15">
        <v>0</v>
      </c>
    </row>
    <row r="16" spans="1:24" x14ac:dyDescent="0.2">
      <c r="A16">
        <v>15</v>
      </c>
      <c r="B16" t="s">
        <v>131</v>
      </c>
      <c r="R16" t="s">
        <v>141</v>
      </c>
      <c r="S16" t="s">
        <v>151</v>
      </c>
      <c r="T16">
        <v>1</v>
      </c>
      <c r="U16">
        <v>0</v>
      </c>
      <c r="V16">
        <v>0</v>
      </c>
      <c r="W16">
        <v>0</v>
      </c>
    </row>
    <row r="17" spans="1:23" x14ac:dyDescent="0.2">
      <c r="A17">
        <v>16</v>
      </c>
      <c r="B17" t="s">
        <v>131</v>
      </c>
      <c r="R17" t="s">
        <v>142</v>
      </c>
      <c r="S17" t="s">
        <v>151</v>
      </c>
      <c r="T17">
        <v>1</v>
      </c>
      <c r="U17">
        <v>0</v>
      </c>
      <c r="V17">
        <v>0</v>
      </c>
      <c r="W17">
        <v>0</v>
      </c>
    </row>
    <row r="18" spans="1:23" x14ac:dyDescent="0.2">
      <c r="A18">
        <v>17</v>
      </c>
      <c r="B18" t="s">
        <v>131</v>
      </c>
      <c r="R18" t="s">
        <v>143</v>
      </c>
      <c r="S18" t="s">
        <v>151</v>
      </c>
      <c r="T18">
        <v>2</v>
      </c>
      <c r="U18">
        <v>0</v>
      </c>
      <c r="V18">
        <v>0</v>
      </c>
      <c r="W18">
        <v>0</v>
      </c>
    </row>
    <row r="19" spans="1:23" x14ac:dyDescent="0.2">
      <c r="A19">
        <v>18</v>
      </c>
      <c r="B19" t="s">
        <v>131</v>
      </c>
    </row>
    <row r="20" spans="1:23" x14ac:dyDescent="0.2">
      <c r="A20">
        <v>19</v>
      </c>
      <c r="B20" t="s">
        <v>129</v>
      </c>
    </row>
    <row r="21" spans="1:23" x14ac:dyDescent="0.2">
      <c r="A21">
        <v>20</v>
      </c>
      <c r="B21" t="s">
        <v>129</v>
      </c>
    </row>
    <row r="22" spans="1:23" x14ac:dyDescent="0.2">
      <c r="A22">
        <v>21</v>
      </c>
      <c r="B22" t="s">
        <v>129</v>
      </c>
    </row>
    <row r="23" spans="1:23" x14ac:dyDescent="0.2">
      <c r="A23">
        <v>22</v>
      </c>
      <c r="B23" t="s">
        <v>129</v>
      </c>
    </row>
    <row r="24" spans="1:23" x14ac:dyDescent="0.2">
      <c r="A24">
        <v>23</v>
      </c>
      <c r="B24" t="s">
        <v>129</v>
      </c>
    </row>
    <row r="25" spans="1:23" x14ac:dyDescent="0.2">
      <c r="A25">
        <v>24</v>
      </c>
      <c r="B25" t="s">
        <v>129</v>
      </c>
    </row>
    <row r="26" spans="1:23" x14ac:dyDescent="0.2">
      <c r="A26">
        <v>25</v>
      </c>
      <c r="B26" t="s">
        <v>132</v>
      </c>
    </row>
    <row r="27" spans="1:23" x14ac:dyDescent="0.2">
      <c r="A27">
        <v>26</v>
      </c>
      <c r="B27" t="s">
        <v>132</v>
      </c>
    </row>
    <row r="28" spans="1:23" x14ac:dyDescent="0.2">
      <c r="A28">
        <v>27</v>
      </c>
      <c r="B28" t="s">
        <v>132</v>
      </c>
    </row>
    <row r="29" spans="1:23" x14ac:dyDescent="0.2">
      <c r="A29">
        <v>28</v>
      </c>
      <c r="B29" t="s">
        <v>132</v>
      </c>
    </row>
    <row r="30" spans="1:23" x14ac:dyDescent="0.2">
      <c r="A30">
        <v>29</v>
      </c>
      <c r="B30" t="s">
        <v>132</v>
      </c>
    </row>
    <row r="31" spans="1:23" x14ac:dyDescent="0.2">
      <c r="A31">
        <v>30</v>
      </c>
      <c r="B31" t="s">
        <v>132</v>
      </c>
    </row>
    <row r="32" spans="1:23" x14ac:dyDescent="0.2">
      <c r="A32">
        <v>31</v>
      </c>
      <c r="B32" t="s">
        <v>133</v>
      </c>
    </row>
    <row r="33" spans="1:2" x14ac:dyDescent="0.2">
      <c r="A33">
        <v>32</v>
      </c>
      <c r="B33" t="s">
        <v>133</v>
      </c>
    </row>
    <row r="34" spans="1:2" x14ac:dyDescent="0.2">
      <c r="A34">
        <v>33</v>
      </c>
      <c r="B34" t="s">
        <v>133</v>
      </c>
    </row>
    <row r="35" spans="1:2" x14ac:dyDescent="0.2">
      <c r="A35">
        <v>34</v>
      </c>
      <c r="B35" t="s">
        <v>133</v>
      </c>
    </row>
    <row r="36" spans="1:2" x14ac:dyDescent="0.2">
      <c r="A36">
        <v>35</v>
      </c>
      <c r="B36" t="s">
        <v>133</v>
      </c>
    </row>
    <row r="37" spans="1:2" x14ac:dyDescent="0.2">
      <c r="A37">
        <v>36</v>
      </c>
      <c r="B37" t="s">
        <v>133</v>
      </c>
    </row>
    <row r="38" spans="1:2" x14ac:dyDescent="0.2">
      <c r="A38">
        <v>37</v>
      </c>
      <c r="B38" t="s">
        <v>134</v>
      </c>
    </row>
    <row r="39" spans="1:2" x14ac:dyDescent="0.2">
      <c r="A39">
        <v>38</v>
      </c>
      <c r="B39" t="s">
        <v>134</v>
      </c>
    </row>
    <row r="40" spans="1:2" x14ac:dyDescent="0.2">
      <c r="A40">
        <v>39</v>
      </c>
      <c r="B40" t="s">
        <v>134</v>
      </c>
    </row>
    <row r="41" spans="1:2" x14ac:dyDescent="0.2">
      <c r="A41">
        <v>40</v>
      </c>
      <c r="B41" t="s">
        <v>134</v>
      </c>
    </row>
    <row r="42" spans="1:2" x14ac:dyDescent="0.2">
      <c r="A42">
        <v>41</v>
      </c>
      <c r="B42" t="s">
        <v>134</v>
      </c>
    </row>
    <row r="43" spans="1:2" x14ac:dyDescent="0.2">
      <c r="A43">
        <v>42</v>
      </c>
      <c r="B43" t="s">
        <v>134</v>
      </c>
    </row>
    <row r="44" spans="1:2" x14ac:dyDescent="0.2">
      <c r="A44">
        <v>43</v>
      </c>
      <c r="B44" t="s">
        <v>135</v>
      </c>
    </row>
    <row r="45" spans="1:2" x14ac:dyDescent="0.2">
      <c r="A45">
        <v>44</v>
      </c>
      <c r="B45" t="s">
        <v>135</v>
      </c>
    </row>
    <row r="46" spans="1:2" x14ac:dyDescent="0.2">
      <c r="A46">
        <v>45</v>
      </c>
      <c r="B46" t="s">
        <v>135</v>
      </c>
    </row>
    <row r="47" spans="1:2" x14ac:dyDescent="0.2">
      <c r="A47">
        <v>46</v>
      </c>
      <c r="B47" t="s">
        <v>135</v>
      </c>
    </row>
    <row r="48" spans="1:2" x14ac:dyDescent="0.2">
      <c r="A48">
        <v>47</v>
      </c>
      <c r="B48" t="s">
        <v>135</v>
      </c>
    </row>
    <row r="49" spans="1:2" x14ac:dyDescent="0.2">
      <c r="A49">
        <v>48</v>
      </c>
      <c r="B49" t="s">
        <v>135</v>
      </c>
    </row>
    <row r="50" spans="1:2" x14ac:dyDescent="0.2">
      <c r="A50">
        <v>49</v>
      </c>
      <c r="B50" t="s">
        <v>136</v>
      </c>
    </row>
    <row r="51" spans="1:2" x14ac:dyDescent="0.2">
      <c r="A51">
        <v>50</v>
      </c>
      <c r="B51" t="s">
        <v>136</v>
      </c>
    </row>
    <row r="52" spans="1:2" x14ac:dyDescent="0.2">
      <c r="A52">
        <v>51</v>
      </c>
      <c r="B52" t="s">
        <v>136</v>
      </c>
    </row>
    <row r="53" spans="1:2" x14ac:dyDescent="0.2">
      <c r="A53">
        <v>52</v>
      </c>
      <c r="B53" t="s">
        <v>136</v>
      </c>
    </row>
    <row r="54" spans="1:2" x14ac:dyDescent="0.2">
      <c r="A54">
        <v>53</v>
      </c>
      <c r="B54" t="s">
        <v>136</v>
      </c>
    </row>
    <row r="55" spans="1:2" x14ac:dyDescent="0.2">
      <c r="A55">
        <v>54</v>
      </c>
      <c r="B55" t="s">
        <v>136</v>
      </c>
    </row>
    <row r="56" spans="1:2" x14ac:dyDescent="0.2">
      <c r="A56">
        <v>55</v>
      </c>
      <c r="B56" t="s">
        <v>137</v>
      </c>
    </row>
    <row r="57" spans="1:2" x14ac:dyDescent="0.2">
      <c r="A57">
        <v>56</v>
      </c>
      <c r="B57" t="s">
        <v>137</v>
      </c>
    </row>
    <row r="58" spans="1:2" x14ac:dyDescent="0.2">
      <c r="A58">
        <v>57</v>
      </c>
      <c r="B58" t="s">
        <v>137</v>
      </c>
    </row>
    <row r="59" spans="1:2" x14ac:dyDescent="0.2">
      <c r="A59">
        <v>58</v>
      </c>
      <c r="B59" t="s">
        <v>137</v>
      </c>
    </row>
    <row r="60" spans="1:2" x14ac:dyDescent="0.2">
      <c r="A60">
        <v>59</v>
      </c>
      <c r="B60" t="s">
        <v>137</v>
      </c>
    </row>
    <row r="61" spans="1:2" x14ac:dyDescent="0.2">
      <c r="A61">
        <v>60</v>
      </c>
      <c r="B61" t="s">
        <v>137</v>
      </c>
    </row>
    <row r="62" spans="1:2" x14ac:dyDescent="0.2">
      <c r="A62">
        <v>61</v>
      </c>
      <c r="B62" t="s">
        <v>138</v>
      </c>
    </row>
    <row r="63" spans="1:2" x14ac:dyDescent="0.2">
      <c r="A63">
        <v>62</v>
      </c>
      <c r="B63" t="s">
        <v>138</v>
      </c>
    </row>
    <row r="64" spans="1:2" x14ac:dyDescent="0.2">
      <c r="A64">
        <v>63</v>
      </c>
      <c r="B64" t="s">
        <v>138</v>
      </c>
    </row>
    <row r="65" spans="1:2" x14ac:dyDescent="0.2">
      <c r="A65">
        <v>64</v>
      </c>
      <c r="B65" t="s">
        <v>138</v>
      </c>
    </row>
    <row r="66" spans="1:2" x14ac:dyDescent="0.2">
      <c r="A66">
        <v>65</v>
      </c>
      <c r="B66" t="s">
        <v>138</v>
      </c>
    </row>
    <row r="67" spans="1:2" x14ac:dyDescent="0.2">
      <c r="A67">
        <v>66</v>
      </c>
      <c r="B67" t="s">
        <v>138</v>
      </c>
    </row>
    <row r="68" spans="1:2" x14ac:dyDescent="0.2">
      <c r="A68">
        <v>67</v>
      </c>
      <c r="B68" t="s">
        <v>139</v>
      </c>
    </row>
    <row r="69" spans="1:2" x14ac:dyDescent="0.2">
      <c r="A69">
        <v>68</v>
      </c>
      <c r="B69" t="s">
        <v>139</v>
      </c>
    </row>
    <row r="70" spans="1:2" x14ac:dyDescent="0.2">
      <c r="A70">
        <v>69</v>
      </c>
      <c r="B70" t="s">
        <v>139</v>
      </c>
    </row>
    <row r="71" spans="1:2" x14ac:dyDescent="0.2">
      <c r="A71">
        <v>70</v>
      </c>
      <c r="B71" t="s">
        <v>139</v>
      </c>
    </row>
    <row r="72" spans="1:2" x14ac:dyDescent="0.2">
      <c r="A72">
        <v>71</v>
      </c>
      <c r="B72" t="s">
        <v>139</v>
      </c>
    </row>
    <row r="73" spans="1:2" x14ac:dyDescent="0.2">
      <c r="A73">
        <v>72</v>
      </c>
      <c r="B73" t="s">
        <v>139</v>
      </c>
    </row>
    <row r="74" spans="1:2" x14ac:dyDescent="0.2">
      <c r="A74">
        <v>73</v>
      </c>
      <c r="B74" t="s">
        <v>140</v>
      </c>
    </row>
    <row r="75" spans="1:2" x14ac:dyDescent="0.2">
      <c r="A75">
        <v>74</v>
      </c>
      <c r="B75" t="s">
        <v>140</v>
      </c>
    </row>
    <row r="76" spans="1:2" x14ac:dyDescent="0.2">
      <c r="A76">
        <v>75</v>
      </c>
      <c r="B76" t="s">
        <v>140</v>
      </c>
    </row>
    <row r="77" spans="1:2" x14ac:dyDescent="0.2">
      <c r="A77">
        <v>76</v>
      </c>
      <c r="B77" t="s">
        <v>140</v>
      </c>
    </row>
    <row r="78" spans="1:2" x14ac:dyDescent="0.2">
      <c r="A78">
        <v>77</v>
      </c>
      <c r="B78" t="s">
        <v>140</v>
      </c>
    </row>
    <row r="79" spans="1:2" x14ac:dyDescent="0.2">
      <c r="A79">
        <v>78</v>
      </c>
      <c r="B79" t="s">
        <v>140</v>
      </c>
    </row>
    <row r="80" spans="1:2" x14ac:dyDescent="0.2">
      <c r="A80">
        <v>79</v>
      </c>
      <c r="B80" t="s">
        <v>141</v>
      </c>
    </row>
    <row r="81" spans="1:6" x14ac:dyDescent="0.2">
      <c r="A81">
        <v>80</v>
      </c>
      <c r="B81" t="s">
        <v>141</v>
      </c>
    </row>
    <row r="82" spans="1:6" x14ac:dyDescent="0.2">
      <c r="A82">
        <v>81</v>
      </c>
      <c r="B82" t="s">
        <v>141</v>
      </c>
    </row>
    <row r="83" spans="1:6" x14ac:dyDescent="0.2">
      <c r="A83">
        <v>82</v>
      </c>
      <c r="B83" t="s">
        <v>141</v>
      </c>
    </row>
    <row r="84" spans="1:6" x14ac:dyDescent="0.2">
      <c r="A84">
        <v>83</v>
      </c>
      <c r="B84" t="s">
        <v>141</v>
      </c>
    </row>
    <row r="85" spans="1:6" x14ac:dyDescent="0.2">
      <c r="A85">
        <v>84</v>
      </c>
      <c r="B85" t="s">
        <v>141</v>
      </c>
    </row>
    <row r="86" spans="1:6" x14ac:dyDescent="0.2">
      <c r="A86">
        <v>85</v>
      </c>
      <c r="B86" t="s">
        <v>142</v>
      </c>
    </row>
    <row r="87" spans="1:6" x14ac:dyDescent="0.2">
      <c r="A87">
        <v>86</v>
      </c>
      <c r="B87" t="s">
        <v>142</v>
      </c>
    </row>
    <row r="88" spans="1:6" x14ac:dyDescent="0.2">
      <c r="A88">
        <v>87</v>
      </c>
      <c r="B88" t="s">
        <v>142</v>
      </c>
    </row>
    <row r="89" spans="1:6" x14ac:dyDescent="0.2">
      <c r="A89">
        <v>88</v>
      </c>
      <c r="B89" t="s">
        <v>142</v>
      </c>
    </row>
    <row r="90" spans="1:6" x14ac:dyDescent="0.2">
      <c r="A90">
        <v>89</v>
      </c>
      <c r="B90" t="s">
        <v>142</v>
      </c>
      <c r="F90" s="3"/>
    </row>
    <row r="91" spans="1:6" x14ac:dyDescent="0.2">
      <c r="A91">
        <v>90</v>
      </c>
      <c r="B91" t="s">
        <v>142</v>
      </c>
      <c r="F91" s="3"/>
    </row>
    <row r="92" spans="1:6" x14ac:dyDescent="0.2">
      <c r="A92">
        <v>91</v>
      </c>
      <c r="B92" t="s">
        <v>143</v>
      </c>
      <c r="F92" s="3"/>
    </row>
    <row r="93" spans="1:6" x14ac:dyDescent="0.2">
      <c r="A93">
        <v>92</v>
      </c>
      <c r="B93" t="s">
        <v>143</v>
      </c>
      <c r="F93" s="3"/>
    </row>
    <row r="94" spans="1:6" x14ac:dyDescent="0.2">
      <c r="A94">
        <v>93</v>
      </c>
      <c r="B94" t="s">
        <v>143</v>
      </c>
      <c r="F94" s="3"/>
    </row>
    <row r="95" spans="1:6" x14ac:dyDescent="0.2">
      <c r="A95">
        <v>94</v>
      </c>
      <c r="B95" t="s">
        <v>143</v>
      </c>
      <c r="F95" s="3"/>
    </row>
    <row r="96" spans="1:6" x14ac:dyDescent="0.2">
      <c r="A96">
        <v>95</v>
      </c>
      <c r="B96" t="s">
        <v>143</v>
      </c>
      <c r="F96" s="3"/>
    </row>
    <row r="97" spans="1:6" x14ac:dyDescent="0.2">
      <c r="A97">
        <v>96</v>
      </c>
      <c r="B97" t="s">
        <v>143</v>
      </c>
      <c r="F97" s="3"/>
    </row>
  </sheetData>
  <phoneticPr fontId="2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13212-96B2-9445-9699-A0E2ECD4F5C9}">
  <dimension ref="A1:V1177"/>
  <sheetViews>
    <sheetView topLeftCell="D18" workbookViewId="0">
      <selection activeCell="S32" sqref="S32"/>
    </sheetView>
  </sheetViews>
  <sheetFormatPr baseColWidth="10" defaultRowHeight="16" x14ac:dyDescent="0.2"/>
  <cols>
    <col min="18" max="18" width="12.1640625" bestFit="1" customWidth="1"/>
  </cols>
  <sheetData>
    <row r="1" spans="1:18" ht="17" x14ac:dyDescent="0.25">
      <c r="A1" s="6" t="s">
        <v>116</v>
      </c>
      <c r="B1" t="s">
        <v>117</v>
      </c>
      <c r="C1" t="s">
        <v>118</v>
      </c>
      <c r="D1" t="s">
        <v>119</v>
      </c>
      <c r="E1" t="s">
        <v>120</v>
      </c>
      <c r="F1" t="s">
        <v>121</v>
      </c>
      <c r="J1" t="s">
        <v>124</v>
      </c>
      <c r="K1" t="s">
        <v>118</v>
      </c>
      <c r="L1" t="s">
        <v>119</v>
      </c>
      <c r="M1" t="s">
        <v>120</v>
      </c>
      <c r="N1" t="s">
        <v>121</v>
      </c>
      <c r="O1" t="s">
        <v>118</v>
      </c>
      <c r="P1" t="s">
        <v>119</v>
      </c>
      <c r="Q1" t="s">
        <v>125</v>
      </c>
      <c r="R1" t="s">
        <v>126</v>
      </c>
    </row>
    <row r="2" spans="1:18" ht="17" x14ac:dyDescent="0.25">
      <c r="A2" s="6">
        <v>0</v>
      </c>
      <c r="B2" t="s">
        <v>100</v>
      </c>
      <c r="C2">
        <v>22</v>
      </c>
      <c r="D2">
        <v>4</v>
      </c>
      <c r="E2">
        <v>6</v>
      </c>
      <c r="F2">
        <v>2</v>
      </c>
      <c r="J2">
        <v>0</v>
      </c>
      <c r="K2">
        <f>AVERAGEIF($A:$A,$J2,C:C)</f>
        <v>31</v>
      </c>
      <c r="L2">
        <f t="shared" ref="L2:N17" si="0">AVERAGEIF($A:$A,$J2,D:D)</f>
        <v>4.75</v>
      </c>
      <c r="M2">
        <f t="shared" si="0"/>
        <v>6</v>
      </c>
      <c r="N2">
        <f t="shared" si="0"/>
        <v>2</v>
      </c>
      <c r="O2">
        <f>K2*10^(M2+1)</f>
        <v>310000000</v>
      </c>
      <c r="P2">
        <f>L2*10^(N2+1)</f>
        <v>4750</v>
      </c>
      <c r="Q2">
        <f>O2-P2</f>
        <v>309995250</v>
      </c>
      <c r="R2">
        <f>P2/Q2</f>
        <v>1.5322815430236433E-5</v>
      </c>
    </row>
    <row r="3" spans="1:18" ht="17" x14ac:dyDescent="0.25">
      <c r="A3" s="6">
        <v>0</v>
      </c>
      <c r="B3" t="s">
        <v>122</v>
      </c>
      <c r="C3">
        <v>28</v>
      </c>
      <c r="D3">
        <v>9</v>
      </c>
      <c r="E3">
        <v>6</v>
      </c>
      <c r="F3">
        <v>2</v>
      </c>
      <c r="J3">
        <v>12</v>
      </c>
      <c r="K3">
        <f t="shared" ref="K3:N46" si="1">AVERAGEIF($A:$A,$J3,C:C)</f>
        <v>19.5</v>
      </c>
      <c r="L3">
        <f t="shared" si="0"/>
        <v>12.5</v>
      </c>
      <c r="M3">
        <f t="shared" si="0"/>
        <v>6</v>
      </c>
      <c r="N3">
        <f t="shared" si="0"/>
        <v>2</v>
      </c>
      <c r="O3">
        <f t="shared" ref="O3:O49" si="2">K3*10^(M3+1)</f>
        <v>195000000</v>
      </c>
      <c r="P3">
        <f t="shared" ref="P3:P49" si="3">L3*10^(N3+1)</f>
        <v>12500</v>
      </c>
      <c r="Q3">
        <f t="shared" ref="Q3:Q49" si="4">O3-P3</f>
        <v>194987500</v>
      </c>
      <c r="R3">
        <f t="shared" ref="R3:R49" si="5">P3/Q3</f>
        <v>6.4106673504711839E-5</v>
      </c>
    </row>
    <row r="4" spans="1:18" ht="17" x14ac:dyDescent="0.25">
      <c r="A4" s="6">
        <v>0</v>
      </c>
      <c r="B4" t="s">
        <v>102</v>
      </c>
      <c r="C4">
        <v>30</v>
      </c>
      <c r="D4">
        <v>5</v>
      </c>
      <c r="E4">
        <v>6</v>
      </c>
      <c r="F4">
        <v>2</v>
      </c>
      <c r="J4">
        <v>24</v>
      </c>
      <c r="K4">
        <f t="shared" si="1"/>
        <v>9</v>
      </c>
      <c r="L4">
        <f t="shared" si="0"/>
        <v>12</v>
      </c>
      <c r="M4">
        <f t="shared" si="0"/>
        <v>6</v>
      </c>
      <c r="N4">
        <f t="shared" si="0"/>
        <v>2</v>
      </c>
      <c r="O4">
        <f t="shared" si="2"/>
        <v>90000000</v>
      </c>
      <c r="P4">
        <f t="shared" si="3"/>
        <v>12000</v>
      </c>
      <c r="Q4">
        <f t="shared" si="4"/>
        <v>89988000</v>
      </c>
      <c r="R4">
        <f t="shared" si="5"/>
        <v>1.3335111348179759E-4</v>
      </c>
    </row>
    <row r="5" spans="1:18" ht="17" x14ac:dyDescent="0.25">
      <c r="A5" s="6">
        <v>0</v>
      </c>
      <c r="B5" t="s">
        <v>123</v>
      </c>
      <c r="C5">
        <v>44</v>
      </c>
      <c r="D5">
        <v>1</v>
      </c>
      <c r="E5">
        <v>6</v>
      </c>
      <c r="F5">
        <v>2</v>
      </c>
      <c r="J5">
        <v>36</v>
      </c>
      <c r="K5">
        <f t="shared" si="1"/>
        <v>25.25</v>
      </c>
      <c r="L5">
        <f t="shared" si="0"/>
        <v>15</v>
      </c>
      <c r="M5">
        <f t="shared" si="0"/>
        <v>5</v>
      </c>
      <c r="N5">
        <f t="shared" si="0"/>
        <v>2</v>
      </c>
      <c r="O5">
        <f t="shared" si="2"/>
        <v>25250000</v>
      </c>
      <c r="P5">
        <f t="shared" si="3"/>
        <v>15000</v>
      </c>
      <c r="Q5">
        <f t="shared" si="4"/>
        <v>25235000</v>
      </c>
      <c r="R5">
        <f t="shared" si="5"/>
        <v>5.9441252229046955E-4</v>
      </c>
    </row>
    <row r="6" spans="1:18" ht="17" x14ac:dyDescent="0.25">
      <c r="A6" s="6">
        <v>12</v>
      </c>
      <c r="B6" t="s">
        <v>100</v>
      </c>
      <c r="C6">
        <v>20</v>
      </c>
      <c r="D6">
        <v>15</v>
      </c>
      <c r="E6">
        <v>6</v>
      </c>
      <c r="F6">
        <v>2</v>
      </c>
      <c r="J6">
        <v>48</v>
      </c>
      <c r="K6">
        <f t="shared" si="1"/>
        <v>19.5</v>
      </c>
      <c r="L6">
        <f t="shared" si="0"/>
        <v>92.75</v>
      </c>
      <c r="M6">
        <f t="shared" si="0"/>
        <v>5</v>
      </c>
      <c r="N6">
        <f t="shared" si="0"/>
        <v>2</v>
      </c>
      <c r="O6">
        <f t="shared" si="2"/>
        <v>19500000</v>
      </c>
      <c r="P6">
        <f t="shared" si="3"/>
        <v>92750</v>
      </c>
      <c r="Q6">
        <f t="shared" si="4"/>
        <v>19407250</v>
      </c>
      <c r="R6">
        <f t="shared" si="5"/>
        <v>4.7791418155586187E-3</v>
      </c>
    </row>
    <row r="7" spans="1:18" ht="17" x14ac:dyDescent="0.25">
      <c r="A7" s="6">
        <v>12</v>
      </c>
      <c r="B7" t="s">
        <v>122</v>
      </c>
      <c r="C7">
        <v>21</v>
      </c>
      <c r="D7">
        <v>23</v>
      </c>
      <c r="E7">
        <v>6</v>
      </c>
      <c r="F7">
        <v>2</v>
      </c>
      <c r="J7">
        <v>60</v>
      </c>
      <c r="K7">
        <f t="shared" si="1"/>
        <v>20.75</v>
      </c>
      <c r="L7">
        <f t="shared" si="0"/>
        <v>80.25</v>
      </c>
      <c r="M7">
        <f t="shared" si="0"/>
        <v>5</v>
      </c>
      <c r="N7">
        <f t="shared" si="0"/>
        <v>2</v>
      </c>
      <c r="O7">
        <f t="shared" si="2"/>
        <v>20750000</v>
      </c>
      <c r="P7">
        <f t="shared" si="3"/>
        <v>80250</v>
      </c>
      <c r="Q7">
        <f t="shared" si="4"/>
        <v>20669750</v>
      </c>
      <c r="R7">
        <f t="shared" si="5"/>
        <v>3.8824852743743875E-3</v>
      </c>
    </row>
    <row r="8" spans="1:18" ht="17" x14ac:dyDescent="0.25">
      <c r="A8" s="6">
        <v>12</v>
      </c>
      <c r="B8" t="s">
        <v>102</v>
      </c>
      <c r="C8">
        <v>17</v>
      </c>
      <c r="D8">
        <v>6</v>
      </c>
      <c r="E8">
        <v>6</v>
      </c>
      <c r="F8">
        <v>2</v>
      </c>
      <c r="J8">
        <v>72</v>
      </c>
      <c r="K8">
        <f t="shared" si="1"/>
        <v>22.75</v>
      </c>
      <c r="L8">
        <f t="shared" si="0"/>
        <v>200.75</v>
      </c>
      <c r="M8">
        <f t="shared" si="0"/>
        <v>5</v>
      </c>
      <c r="N8">
        <f t="shared" si="0"/>
        <v>2</v>
      </c>
      <c r="O8">
        <f t="shared" si="2"/>
        <v>22750000</v>
      </c>
      <c r="P8">
        <f t="shared" si="3"/>
        <v>200750</v>
      </c>
      <c r="Q8">
        <f t="shared" si="4"/>
        <v>22549250</v>
      </c>
      <c r="R8">
        <f t="shared" si="5"/>
        <v>8.9027351242280794E-3</v>
      </c>
    </row>
    <row r="9" spans="1:18" ht="17" x14ac:dyDescent="0.25">
      <c r="A9" s="6">
        <v>12</v>
      </c>
      <c r="B9" t="s">
        <v>123</v>
      </c>
      <c r="C9">
        <v>20</v>
      </c>
      <c r="D9">
        <v>6</v>
      </c>
      <c r="E9">
        <v>6</v>
      </c>
      <c r="F9">
        <v>2</v>
      </c>
      <c r="J9">
        <v>84</v>
      </c>
      <c r="K9">
        <f t="shared" si="1"/>
        <v>20</v>
      </c>
      <c r="L9">
        <f t="shared" si="0"/>
        <v>280.5</v>
      </c>
      <c r="M9">
        <f t="shared" si="0"/>
        <v>5</v>
      </c>
      <c r="N9">
        <f t="shared" si="0"/>
        <v>2</v>
      </c>
      <c r="O9">
        <f t="shared" si="2"/>
        <v>20000000</v>
      </c>
      <c r="P9">
        <f t="shared" si="3"/>
        <v>280500</v>
      </c>
      <c r="Q9">
        <f t="shared" si="4"/>
        <v>19719500</v>
      </c>
      <c r="R9">
        <f t="shared" si="5"/>
        <v>1.4224498592763509E-2</v>
      </c>
    </row>
    <row r="10" spans="1:18" ht="17" x14ac:dyDescent="0.25">
      <c r="A10" s="6">
        <v>24</v>
      </c>
      <c r="B10" t="s">
        <v>100</v>
      </c>
      <c r="C10">
        <v>10</v>
      </c>
      <c r="D10">
        <v>13</v>
      </c>
      <c r="E10">
        <v>6</v>
      </c>
      <c r="F10">
        <v>2</v>
      </c>
      <c r="J10">
        <v>96</v>
      </c>
      <c r="K10">
        <f t="shared" si="1"/>
        <v>14.75</v>
      </c>
      <c r="L10">
        <f t="shared" si="0"/>
        <v>368.5</v>
      </c>
      <c r="M10">
        <f t="shared" si="0"/>
        <v>5</v>
      </c>
      <c r="N10">
        <f t="shared" si="0"/>
        <v>2</v>
      </c>
      <c r="O10">
        <f t="shared" si="2"/>
        <v>14750000</v>
      </c>
      <c r="P10">
        <f t="shared" si="3"/>
        <v>368500</v>
      </c>
      <c r="Q10">
        <f t="shared" si="4"/>
        <v>14381500</v>
      </c>
      <c r="R10">
        <f t="shared" si="5"/>
        <v>2.5623196467684177E-2</v>
      </c>
    </row>
    <row r="11" spans="1:18" ht="17" x14ac:dyDescent="0.25">
      <c r="A11" s="6">
        <v>24</v>
      </c>
      <c r="B11" t="s">
        <v>122</v>
      </c>
      <c r="C11">
        <v>9</v>
      </c>
      <c r="D11">
        <v>23</v>
      </c>
      <c r="E11">
        <v>6</v>
      </c>
      <c r="F11">
        <v>2</v>
      </c>
      <c r="J11">
        <v>108</v>
      </c>
      <c r="K11">
        <f t="shared" si="1"/>
        <v>9.5</v>
      </c>
      <c r="L11">
        <f t="shared" si="0"/>
        <v>309.75</v>
      </c>
      <c r="M11">
        <f t="shared" si="0"/>
        <v>5</v>
      </c>
      <c r="N11">
        <f t="shared" si="0"/>
        <v>2</v>
      </c>
      <c r="O11">
        <f t="shared" si="2"/>
        <v>9500000</v>
      </c>
      <c r="P11">
        <f t="shared" si="3"/>
        <v>309750</v>
      </c>
      <c r="Q11">
        <f t="shared" si="4"/>
        <v>9190250</v>
      </c>
      <c r="R11">
        <f t="shared" si="5"/>
        <v>3.3704197383096213E-2</v>
      </c>
    </row>
    <row r="12" spans="1:18" ht="17" x14ac:dyDescent="0.25">
      <c r="A12" s="6">
        <v>24</v>
      </c>
      <c r="B12" t="s">
        <v>102</v>
      </c>
      <c r="C12">
        <v>6</v>
      </c>
      <c r="D12">
        <v>8</v>
      </c>
      <c r="E12">
        <v>6</v>
      </c>
      <c r="F12">
        <v>2</v>
      </c>
      <c r="J12">
        <v>120</v>
      </c>
      <c r="K12">
        <f t="shared" si="1"/>
        <v>88.25</v>
      </c>
      <c r="L12">
        <f t="shared" si="0"/>
        <v>50</v>
      </c>
      <c r="M12">
        <f t="shared" si="0"/>
        <v>4</v>
      </c>
      <c r="N12">
        <f t="shared" si="0"/>
        <v>3</v>
      </c>
      <c r="O12">
        <f t="shared" si="2"/>
        <v>8825000</v>
      </c>
      <c r="P12">
        <f t="shared" si="3"/>
        <v>500000</v>
      </c>
      <c r="Q12">
        <f t="shared" si="4"/>
        <v>8325000</v>
      </c>
      <c r="R12">
        <f t="shared" si="5"/>
        <v>6.006006006006006E-2</v>
      </c>
    </row>
    <row r="13" spans="1:18" ht="17" x14ac:dyDescent="0.25">
      <c r="A13" s="6">
        <v>24</v>
      </c>
      <c r="B13" t="s">
        <v>123</v>
      </c>
      <c r="C13">
        <v>11</v>
      </c>
      <c r="D13">
        <v>4</v>
      </c>
      <c r="E13">
        <v>6</v>
      </c>
      <c r="F13">
        <v>2</v>
      </c>
      <c r="J13">
        <v>132</v>
      </c>
      <c r="K13">
        <f t="shared" si="1"/>
        <v>73</v>
      </c>
      <c r="L13">
        <f t="shared" si="0"/>
        <v>55.75</v>
      </c>
      <c r="M13">
        <f t="shared" si="0"/>
        <v>4</v>
      </c>
      <c r="N13">
        <f t="shared" si="0"/>
        <v>3</v>
      </c>
      <c r="O13">
        <f t="shared" si="2"/>
        <v>7300000</v>
      </c>
      <c r="P13">
        <f t="shared" si="3"/>
        <v>557500</v>
      </c>
      <c r="Q13">
        <f t="shared" si="4"/>
        <v>6742500</v>
      </c>
      <c r="R13">
        <f t="shared" si="5"/>
        <v>8.2684464219503151E-2</v>
      </c>
    </row>
    <row r="14" spans="1:18" ht="17" x14ac:dyDescent="0.25">
      <c r="A14" s="6">
        <v>36</v>
      </c>
      <c r="B14" t="s">
        <v>100</v>
      </c>
      <c r="C14">
        <v>26</v>
      </c>
      <c r="D14">
        <v>16</v>
      </c>
      <c r="E14">
        <v>5</v>
      </c>
      <c r="F14">
        <v>2</v>
      </c>
      <c r="J14">
        <v>144</v>
      </c>
      <c r="K14">
        <f t="shared" si="1"/>
        <v>57.5</v>
      </c>
      <c r="L14">
        <f t="shared" si="0"/>
        <v>54.5</v>
      </c>
      <c r="M14">
        <f t="shared" si="0"/>
        <v>4</v>
      </c>
      <c r="N14">
        <f t="shared" si="0"/>
        <v>3</v>
      </c>
      <c r="O14">
        <f t="shared" si="2"/>
        <v>5750000</v>
      </c>
      <c r="P14">
        <f t="shared" si="3"/>
        <v>545000</v>
      </c>
      <c r="Q14">
        <f t="shared" si="4"/>
        <v>5205000</v>
      </c>
      <c r="R14">
        <f t="shared" si="5"/>
        <v>0.10470701248799232</v>
      </c>
    </row>
    <row r="15" spans="1:18" ht="17" x14ac:dyDescent="0.25">
      <c r="A15" s="6">
        <v>36</v>
      </c>
      <c r="B15" t="s">
        <v>122</v>
      </c>
      <c r="C15">
        <v>23</v>
      </c>
      <c r="D15">
        <v>14</v>
      </c>
      <c r="E15">
        <v>5</v>
      </c>
      <c r="F15">
        <v>2</v>
      </c>
      <c r="J15">
        <v>156</v>
      </c>
      <c r="K15">
        <f t="shared" si="1"/>
        <v>56.25</v>
      </c>
      <c r="L15">
        <f t="shared" si="0"/>
        <v>61.5</v>
      </c>
      <c r="M15">
        <f t="shared" si="0"/>
        <v>4</v>
      </c>
      <c r="N15">
        <f t="shared" si="0"/>
        <v>3</v>
      </c>
      <c r="O15">
        <f t="shared" si="2"/>
        <v>5625000</v>
      </c>
      <c r="P15">
        <f t="shared" si="3"/>
        <v>615000</v>
      </c>
      <c r="Q15">
        <f t="shared" si="4"/>
        <v>5010000</v>
      </c>
      <c r="R15">
        <f t="shared" si="5"/>
        <v>0.12275449101796407</v>
      </c>
    </row>
    <row r="16" spans="1:18" ht="17" x14ac:dyDescent="0.25">
      <c r="A16" s="6">
        <v>36</v>
      </c>
      <c r="B16" t="s">
        <v>102</v>
      </c>
      <c r="C16">
        <v>28</v>
      </c>
      <c r="D16">
        <v>11</v>
      </c>
      <c r="E16">
        <v>5</v>
      </c>
      <c r="F16">
        <v>2</v>
      </c>
      <c r="J16">
        <v>168</v>
      </c>
      <c r="K16">
        <f t="shared" si="1"/>
        <v>35</v>
      </c>
      <c r="L16">
        <f t="shared" si="0"/>
        <v>50.75</v>
      </c>
      <c r="M16">
        <f t="shared" si="0"/>
        <v>4</v>
      </c>
      <c r="N16">
        <f t="shared" si="0"/>
        <v>3</v>
      </c>
      <c r="O16">
        <f t="shared" si="2"/>
        <v>3500000</v>
      </c>
      <c r="P16">
        <f t="shared" si="3"/>
        <v>507500</v>
      </c>
      <c r="Q16">
        <f t="shared" si="4"/>
        <v>2992500</v>
      </c>
      <c r="R16">
        <f t="shared" si="5"/>
        <v>0.16959064327485379</v>
      </c>
    </row>
    <row r="17" spans="1:22" ht="17" x14ac:dyDescent="0.25">
      <c r="A17" s="6">
        <v>36</v>
      </c>
      <c r="B17" t="s">
        <v>123</v>
      </c>
      <c r="C17">
        <v>24</v>
      </c>
      <c r="D17">
        <v>19</v>
      </c>
      <c r="E17">
        <v>5</v>
      </c>
      <c r="F17">
        <v>2</v>
      </c>
      <c r="J17">
        <v>180</v>
      </c>
      <c r="K17">
        <f t="shared" si="1"/>
        <v>31</v>
      </c>
      <c r="L17">
        <f t="shared" si="0"/>
        <v>63.5</v>
      </c>
      <c r="M17">
        <f t="shared" si="0"/>
        <v>4</v>
      </c>
      <c r="N17">
        <f t="shared" si="0"/>
        <v>3</v>
      </c>
      <c r="O17">
        <f t="shared" si="2"/>
        <v>3100000</v>
      </c>
      <c r="P17">
        <f t="shared" si="3"/>
        <v>635000</v>
      </c>
      <c r="Q17">
        <f t="shared" si="4"/>
        <v>2465000</v>
      </c>
      <c r="R17">
        <f t="shared" si="5"/>
        <v>0.25760649087221094</v>
      </c>
    </row>
    <row r="18" spans="1:22" ht="17" x14ac:dyDescent="0.25">
      <c r="A18" s="6">
        <v>48</v>
      </c>
      <c r="B18" t="s">
        <v>100</v>
      </c>
      <c r="C18">
        <v>21</v>
      </c>
      <c r="D18">
        <v>84</v>
      </c>
      <c r="E18">
        <v>5</v>
      </c>
      <c r="F18">
        <v>2</v>
      </c>
      <c r="J18">
        <v>192</v>
      </c>
      <c r="K18">
        <f t="shared" si="1"/>
        <v>32.75</v>
      </c>
      <c r="L18">
        <f t="shared" si="1"/>
        <v>61.75</v>
      </c>
      <c r="M18">
        <f t="shared" si="1"/>
        <v>4</v>
      </c>
      <c r="N18">
        <f t="shared" si="1"/>
        <v>3</v>
      </c>
      <c r="O18">
        <f t="shared" si="2"/>
        <v>3275000</v>
      </c>
      <c r="P18">
        <f t="shared" si="3"/>
        <v>617500</v>
      </c>
      <c r="Q18">
        <f t="shared" si="4"/>
        <v>2657500</v>
      </c>
      <c r="R18">
        <f t="shared" si="5"/>
        <v>0.2323612417685795</v>
      </c>
    </row>
    <row r="19" spans="1:22" ht="17" x14ac:dyDescent="0.25">
      <c r="A19" s="6">
        <v>48</v>
      </c>
      <c r="B19" t="s">
        <v>122</v>
      </c>
      <c r="C19">
        <v>13</v>
      </c>
      <c r="D19">
        <v>80</v>
      </c>
      <c r="E19">
        <v>5</v>
      </c>
      <c r="F19">
        <v>2</v>
      </c>
      <c r="J19">
        <v>204</v>
      </c>
      <c r="K19">
        <f t="shared" si="1"/>
        <v>26.25</v>
      </c>
      <c r="L19">
        <f t="shared" si="1"/>
        <v>85.25</v>
      </c>
      <c r="M19">
        <f t="shared" si="1"/>
        <v>4</v>
      </c>
      <c r="N19">
        <f t="shared" si="1"/>
        <v>3</v>
      </c>
      <c r="O19">
        <f t="shared" si="2"/>
        <v>2625000</v>
      </c>
      <c r="P19">
        <f t="shared" si="3"/>
        <v>852500</v>
      </c>
      <c r="Q19">
        <f t="shared" si="4"/>
        <v>1772500</v>
      </c>
      <c r="R19">
        <f t="shared" si="5"/>
        <v>0.48095909732016923</v>
      </c>
    </row>
    <row r="20" spans="1:22" ht="17" x14ac:dyDescent="0.25">
      <c r="A20" s="6">
        <v>48</v>
      </c>
      <c r="B20" t="s">
        <v>102</v>
      </c>
      <c r="C20">
        <v>23</v>
      </c>
      <c r="D20">
        <v>98</v>
      </c>
      <c r="E20">
        <v>5</v>
      </c>
      <c r="F20">
        <v>2</v>
      </c>
      <c r="J20">
        <v>216</v>
      </c>
      <c r="K20">
        <f t="shared" si="1"/>
        <v>133.5</v>
      </c>
      <c r="L20">
        <f t="shared" si="1"/>
        <v>76.75</v>
      </c>
      <c r="M20">
        <f t="shared" si="1"/>
        <v>3</v>
      </c>
      <c r="N20">
        <f t="shared" si="1"/>
        <v>3</v>
      </c>
      <c r="O20">
        <f t="shared" si="2"/>
        <v>1335000</v>
      </c>
      <c r="P20">
        <f t="shared" si="3"/>
        <v>767500</v>
      </c>
      <c r="Q20">
        <f t="shared" si="4"/>
        <v>567500</v>
      </c>
      <c r="R20">
        <f t="shared" si="5"/>
        <v>1.3524229074889869</v>
      </c>
    </row>
    <row r="21" spans="1:22" ht="17" x14ac:dyDescent="0.25">
      <c r="A21" s="6">
        <v>48</v>
      </c>
      <c r="B21" t="s">
        <v>123</v>
      </c>
      <c r="C21">
        <v>21</v>
      </c>
      <c r="D21">
        <v>109</v>
      </c>
      <c r="E21">
        <v>5</v>
      </c>
      <c r="F21">
        <v>2</v>
      </c>
      <c r="J21">
        <v>240</v>
      </c>
      <c r="K21">
        <f t="shared" si="1"/>
        <v>88</v>
      </c>
      <c r="L21">
        <f t="shared" si="1"/>
        <v>67.75</v>
      </c>
      <c r="M21">
        <f t="shared" si="1"/>
        <v>3</v>
      </c>
      <c r="N21">
        <f t="shared" si="1"/>
        <v>3</v>
      </c>
      <c r="O21">
        <f t="shared" si="2"/>
        <v>880000</v>
      </c>
      <c r="P21">
        <f t="shared" si="3"/>
        <v>677500</v>
      </c>
      <c r="Q21">
        <f t="shared" si="4"/>
        <v>202500</v>
      </c>
      <c r="R21">
        <f t="shared" si="5"/>
        <v>3.3456790123456792</v>
      </c>
    </row>
    <row r="22" spans="1:22" ht="17" x14ac:dyDescent="0.25">
      <c r="A22" s="6">
        <v>60</v>
      </c>
      <c r="B22" t="s">
        <v>100</v>
      </c>
      <c r="C22">
        <v>19</v>
      </c>
      <c r="D22">
        <v>69</v>
      </c>
      <c r="E22">
        <v>5</v>
      </c>
      <c r="F22">
        <v>2</v>
      </c>
      <c r="J22">
        <v>264</v>
      </c>
      <c r="K22">
        <f t="shared" si="1"/>
        <v>101.25</v>
      </c>
      <c r="L22">
        <f t="shared" si="1"/>
        <v>79.25</v>
      </c>
      <c r="M22">
        <f t="shared" si="1"/>
        <v>3</v>
      </c>
      <c r="N22">
        <f t="shared" si="1"/>
        <v>3</v>
      </c>
      <c r="O22">
        <f t="shared" si="2"/>
        <v>1012500</v>
      </c>
      <c r="P22">
        <f t="shared" si="3"/>
        <v>792500</v>
      </c>
      <c r="Q22">
        <f t="shared" si="4"/>
        <v>220000</v>
      </c>
      <c r="R22">
        <f t="shared" si="5"/>
        <v>3.6022727272727271</v>
      </c>
    </row>
    <row r="23" spans="1:22" ht="17" x14ac:dyDescent="0.25">
      <c r="A23" s="6">
        <v>60</v>
      </c>
      <c r="B23" t="s">
        <v>122</v>
      </c>
      <c r="C23">
        <v>22</v>
      </c>
      <c r="D23">
        <v>74</v>
      </c>
      <c r="E23">
        <v>5</v>
      </c>
      <c r="F23">
        <v>2</v>
      </c>
      <c r="J23">
        <v>288</v>
      </c>
      <c r="K23">
        <f t="shared" si="1"/>
        <v>109.75</v>
      </c>
      <c r="L23">
        <f t="shared" si="1"/>
        <v>82.75</v>
      </c>
      <c r="M23">
        <f t="shared" si="1"/>
        <v>3</v>
      </c>
      <c r="N23">
        <f t="shared" si="1"/>
        <v>3</v>
      </c>
      <c r="O23">
        <f t="shared" si="2"/>
        <v>1097500</v>
      </c>
      <c r="P23">
        <f t="shared" si="3"/>
        <v>827500</v>
      </c>
      <c r="Q23">
        <f t="shared" si="4"/>
        <v>270000</v>
      </c>
      <c r="R23">
        <f t="shared" si="5"/>
        <v>3.0648148148148149</v>
      </c>
    </row>
    <row r="24" spans="1:22" ht="17" x14ac:dyDescent="0.25">
      <c r="A24" s="6">
        <v>60</v>
      </c>
      <c r="B24" t="s">
        <v>102</v>
      </c>
      <c r="C24">
        <v>25</v>
      </c>
      <c r="D24">
        <v>85</v>
      </c>
      <c r="E24">
        <v>5</v>
      </c>
      <c r="F24">
        <v>2</v>
      </c>
      <c r="J24">
        <v>300</v>
      </c>
      <c r="K24">
        <f t="shared" si="1"/>
        <v>133.25</v>
      </c>
      <c r="L24">
        <f t="shared" si="1"/>
        <v>114.25</v>
      </c>
      <c r="M24">
        <f t="shared" si="1"/>
        <v>3</v>
      </c>
      <c r="N24">
        <f t="shared" si="1"/>
        <v>3</v>
      </c>
      <c r="O24">
        <f t="shared" si="2"/>
        <v>1332500</v>
      </c>
      <c r="P24">
        <f t="shared" si="3"/>
        <v>1142500</v>
      </c>
      <c r="Q24">
        <f t="shared" si="4"/>
        <v>190000</v>
      </c>
      <c r="R24">
        <f t="shared" si="5"/>
        <v>6.0131578947368425</v>
      </c>
    </row>
    <row r="25" spans="1:22" ht="17" x14ac:dyDescent="0.25">
      <c r="A25" s="6">
        <v>60</v>
      </c>
      <c r="B25" t="s">
        <v>123</v>
      </c>
      <c r="C25">
        <v>17</v>
      </c>
      <c r="D25">
        <v>93</v>
      </c>
      <c r="E25">
        <v>5</v>
      </c>
      <c r="F25">
        <v>2</v>
      </c>
      <c r="J25">
        <v>312</v>
      </c>
      <c r="K25">
        <f t="shared" si="1"/>
        <v>94.75</v>
      </c>
      <c r="L25">
        <f t="shared" si="1"/>
        <v>94.25</v>
      </c>
      <c r="M25">
        <f t="shared" si="1"/>
        <v>3</v>
      </c>
      <c r="N25">
        <f t="shared" si="1"/>
        <v>3</v>
      </c>
      <c r="O25">
        <f t="shared" si="2"/>
        <v>947500</v>
      </c>
      <c r="P25">
        <f t="shared" si="3"/>
        <v>942500</v>
      </c>
      <c r="Q25">
        <f t="shared" si="4"/>
        <v>5000</v>
      </c>
      <c r="R25">
        <f t="shared" si="5"/>
        <v>188.5</v>
      </c>
    </row>
    <row r="26" spans="1:22" ht="17" x14ac:dyDescent="0.25">
      <c r="A26" s="6">
        <v>72</v>
      </c>
      <c r="B26" t="s">
        <v>100</v>
      </c>
      <c r="C26">
        <v>31</v>
      </c>
      <c r="D26">
        <v>196</v>
      </c>
      <c r="E26">
        <v>5</v>
      </c>
      <c r="F26">
        <v>2</v>
      </c>
      <c r="J26">
        <v>324</v>
      </c>
      <c r="K26">
        <f t="shared" si="1"/>
        <v>134.75</v>
      </c>
      <c r="L26">
        <f t="shared" si="1"/>
        <v>105.25</v>
      </c>
      <c r="M26">
        <f t="shared" si="1"/>
        <v>3</v>
      </c>
      <c r="N26">
        <f t="shared" si="1"/>
        <v>3</v>
      </c>
      <c r="O26">
        <f t="shared" si="2"/>
        <v>1347500</v>
      </c>
      <c r="P26">
        <f t="shared" si="3"/>
        <v>1052500</v>
      </c>
      <c r="Q26">
        <f t="shared" si="4"/>
        <v>295000</v>
      </c>
      <c r="R26">
        <f t="shared" si="5"/>
        <v>3.5677966101694913</v>
      </c>
    </row>
    <row r="27" spans="1:22" ht="17" x14ac:dyDescent="0.25">
      <c r="A27" s="6">
        <v>72</v>
      </c>
      <c r="B27" t="s">
        <v>122</v>
      </c>
      <c r="C27">
        <v>13</v>
      </c>
      <c r="D27">
        <v>212</v>
      </c>
      <c r="E27">
        <v>5</v>
      </c>
      <c r="F27">
        <v>2</v>
      </c>
      <c r="J27">
        <v>336</v>
      </c>
      <c r="K27">
        <f t="shared" si="1"/>
        <v>115.5</v>
      </c>
      <c r="L27">
        <f t="shared" si="1"/>
        <v>94.75</v>
      </c>
      <c r="M27">
        <f t="shared" si="1"/>
        <v>3</v>
      </c>
      <c r="N27">
        <f t="shared" si="1"/>
        <v>3</v>
      </c>
      <c r="O27">
        <f t="shared" si="2"/>
        <v>1155000</v>
      </c>
      <c r="P27">
        <f t="shared" si="3"/>
        <v>947500</v>
      </c>
      <c r="Q27">
        <f t="shared" si="4"/>
        <v>207500</v>
      </c>
      <c r="R27">
        <f t="shared" si="5"/>
        <v>4.5662650602409638</v>
      </c>
    </row>
    <row r="28" spans="1:22" ht="17" x14ac:dyDescent="0.25">
      <c r="A28" s="6">
        <v>72</v>
      </c>
      <c r="B28" t="s">
        <v>102</v>
      </c>
      <c r="C28">
        <v>12</v>
      </c>
      <c r="D28">
        <v>187</v>
      </c>
      <c r="E28">
        <v>5</v>
      </c>
      <c r="F28">
        <v>2</v>
      </c>
      <c r="J28">
        <v>348</v>
      </c>
      <c r="K28">
        <f t="shared" si="1"/>
        <v>119</v>
      </c>
      <c r="L28">
        <f t="shared" si="1"/>
        <v>86</v>
      </c>
      <c r="M28">
        <f t="shared" si="1"/>
        <v>3</v>
      </c>
      <c r="N28">
        <f t="shared" si="1"/>
        <v>3</v>
      </c>
      <c r="O28">
        <f t="shared" si="2"/>
        <v>1190000</v>
      </c>
      <c r="P28">
        <f t="shared" si="3"/>
        <v>860000</v>
      </c>
      <c r="Q28">
        <f t="shared" si="4"/>
        <v>330000</v>
      </c>
      <c r="R28">
        <f t="shared" si="5"/>
        <v>2.606060606060606</v>
      </c>
    </row>
    <row r="29" spans="1:22" ht="17" x14ac:dyDescent="0.25">
      <c r="A29" s="6">
        <v>72</v>
      </c>
      <c r="B29" t="s">
        <v>123</v>
      </c>
      <c r="C29">
        <v>35</v>
      </c>
      <c r="D29">
        <v>208</v>
      </c>
      <c r="E29">
        <v>5</v>
      </c>
      <c r="F29">
        <v>2</v>
      </c>
      <c r="J29">
        <v>360</v>
      </c>
      <c r="K29">
        <f t="shared" si="1"/>
        <v>110.25</v>
      </c>
      <c r="L29">
        <f t="shared" si="1"/>
        <v>89.5</v>
      </c>
      <c r="M29">
        <f t="shared" si="1"/>
        <v>3</v>
      </c>
      <c r="N29">
        <f t="shared" si="1"/>
        <v>3</v>
      </c>
      <c r="O29">
        <f t="shared" si="2"/>
        <v>1102500</v>
      </c>
      <c r="P29">
        <f t="shared" si="3"/>
        <v>895000</v>
      </c>
      <c r="Q29">
        <f t="shared" si="4"/>
        <v>207500</v>
      </c>
      <c r="R29">
        <f t="shared" si="5"/>
        <v>4.3132530120481931</v>
      </c>
    </row>
    <row r="30" spans="1:22" ht="17" x14ac:dyDescent="0.25">
      <c r="A30" s="6">
        <v>84</v>
      </c>
      <c r="B30" t="s">
        <v>100</v>
      </c>
      <c r="C30">
        <v>20</v>
      </c>
      <c r="D30">
        <v>255</v>
      </c>
      <c r="E30">
        <v>5</v>
      </c>
      <c r="F30">
        <v>2</v>
      </c>
      <c r="J30">
        <v>372</v>
      </c>
      <c r="K30">
        <f t="shared" si="1"/>
        <v>120.75</v>
      </c>
      <c r="L30">
        <f t="shared" si="1"/>
        <v>106</v>
      </c>
      <c r="M30">
        <f t="shared" si="1"/>
        <v>3</v>
      </c>
      <c r="N30">
        <f t="shared" si="1"/>
        <v>3</v>
      </c>
      <c r="O30">
        <f t="shared" si="2"/>
        <v>1207500</v>
      </c>
      <c r="P30">
        <f t="shared" si="3"/>
        <v>1060000</v>
      </c>
      <c r="Q30">
        <f t="shared" si="4"/>
        <v>147500</v>
      </c>
      <c r="R30">
        <f t="shared" si="5"/>
        <v>7.1864406779661021</v>
      </c>
    </row>
    <row r="31" spans="1:22" ht="17" x14ac:dyDescent="0.25">
      <c r="A31" s="6">
        <v>84</v>
      </c>
      <c r="B31" t="s">
        <v>122</v>
      </c>
      <c r="C31">
        <v>17</v>
      </c>
      <c r="D31">
        <v>232</v>
      </c>
      <c r="E31">
        <v>5</v>
      </c>
      <c r="F31">
        <v>2</v>
      </c>
      <c r="J31">
        <v>384</v>
      </c>
      <c r="K31">
        <f t="shared" si="1"/>
        <v>125</v>
      </c>
      <c r="L31">
        <f t="shared" si="1"/>
        <v>105.5</v>
      </c>
      <c r="M31">
        <f t="shared" si="1"/>
        <v>3</v>
      </c>
      <c r="N31">
        <f t="shared" si="1"/>
        <v>3</v>
      </c>
      <c r="O31">
        <f t="shared" si="2"/>
        <v>1250000</v>
      </c>
      <c r="P31">
        <f t="shared" si="3"/>
        <v>1055000</v>
      </c>
      <c r="Q31">
        <f t="shared" si="4"/>
        <v>195000</v>
      </c>
      <c r="R31">
        <f t="shared" si="5"/>
        <v>5.4102564102564106</v>
      </c>
    </row>
    <row r="32" spans="1:22" ht="17" x14ac:dyDescent="0.25">
      <c r="A32" s="6">
        <v>84</v>
      </c>
      <c r="B32" t="s">
        <v>102</v>
      </c>
      <c r="C32">
        <v>20</v>
      </c>
      <c r="D32">
        <v>258</v>
      </c>
      <c r="E32">
        <v>5</v>
      </c>
      <c r="F32">
        <v>2</v>
      </c>
      <c r="J32">
        <v>396</v>
      </c>
      <c r="K32">
        <f t="shared" si="1"/>
        <v>118.25</v>
      </c>
      <c r="L32">
        <f t="shared" si="1"/>
        <v>104.25</v>
      </c>
      <c r="M32">
        <f t="shared" si="1"/>
        <v>3</v>
      </c>
      <c r="N32">
        <f t="shared" si="1"/>
        <v>3</v>
      </c>
      <c r="O32">
        <f t="shared" si="2"/>
        <v>1182500</v>
      </c>
      <c r="P32">
        <f t="shared" si="3"/>
        <v>1042500</v>
      </c>
      <c r="Q32">
        <f t="shared" si="4"/>
        <v>140000</v>
      </c>
      <c r="R32">
        <f t="shared" si="5"/>
        <v>7.4464285714285712</v>
      </c>
      <c r="S32">
        <f>AVERAGE(R26:R48)</f>
        <v>3.5235759111068949</v>
      </c>
      <c r="T32">
        <f>AVERAGE(O21:O24,O26:O48)</f>
        <v>1272623.4567901234</v>
      </c>
      <c r="U32">
        <f>AVERAGE(P21:P24,P26:P48)</f>
        <v>963611.11111111112</v>
      </c>
      <c r="V32">
        <f>AVERAGE(Q21:Q24,Q26:Q48)</f>
        <v>309012.34567901236</v>
      </c>
    </row>
    <row r="33" spans="1:18" ht="17" x14ac:dyDescent="0.25">
      <c r="A33" s="6">
        <v>84</v>
      </c>
      <c r="B33" t="s">
        <v>123</v>
      </c>
      <c r="C33">
        <v>23</v>
      </c>
      <c r="D33">
        <v>377</v>
      </c>
      <c r="E33">
        <v>5</v>
      </c>
      <c r="F33">
        <v>2</v>
      </c>
      <c r="J33">
        <v>408</v>
      </c>
      <c r="K33">
        <f t="shared" si="1"/>
        <v>120</v>
      </c>
      <c r="L33">
        <f t="shared" si="1"/>
        <v>92.75</v>
      </c>
      <c r="M33">
        <f t="shared" si="1"/>
        <v>3</v>
      </c>
      <c r="N33">
        <f t="shared" si="1"/>
        <v>3</v>
      </c>
      <c r="O33">
        <f t="shared" si="2"/>
        <v>1200000</v>
      </c>
      <c r="P33">
        <f t="shared" si="3"/>
        <v>927500</v>
      </c>
      <c r="Q33">
        <f t="shared" si="4"/>
        <v>272500</v>
      </c>
      <c r="R33">
        <f t="shared" si="5"/>
        <v>3.403669724770642</v>
      </c>
    </row>
    <row r="34" spans="1:18" ht="17" x14ac:dyDescent="0.25">
      <c r="A34" s="6">
        <v>96</v>
      </c>
      <c r="B34" t="s">
        <v>100</v>
      </c>
      <c r="C34">
        <v>12</v>
      </c>
      <c r="D34">
        <v>329</v>
      </c>
      <c r="E34">
        <v>5</v>
      </c>
      <c r="F34">
        <v>2</v>
      </c>
      <c r="J34">
        <v>420</v>
      </c>
      <c r="K34">
        <f t="shared" si="1"/>
        <v>122.5</v>
      </c>
      <c r="L34">
        <f t="shared" si="1"/>
        <v>91.25</v>
      </c>
      <c r="M34">
        <f t="shared" si="1"/>
        <v>3</v>
      </c>
      <c r="N34">
        <f t="shared" si="1"/>
        <v>3</v>
      </c>
      <c r="O34">
        <f t="shared" si="2"/>
        <v>1225000</v>
      </c>
      <c r="P34">
        <f t="shared" si="3"/>
        <v>912500</v>
      </c>
      <c r="Q34">
        <f t="shared" si="4"/>
        <v>312500</v>
      </c>
      <c r="R34">
        <f t="shared" si="5"/>
        <v>2.92</v>
      </c>
    </row>
    <row r="35" spans="1:18" ht="17" x14ac:dyDescent="0.25">
      <c r="A35" s="6">
        <v>96</v>
      </c>
      <c r="B35" t="s">
        <v>122</v>
      </c>
      <c r="C35">
        <v>13</v>
      </c>
      <c r="D35">
        <v>318</v>
      </c>
      <c r="E35">
        <v>5</v>
      </c>
      <c r="F35">
        <v>2</v>
      </c>
      <c r="J35">
        <v>432</v>
      </c>
      <c r="K35">
        <f t="shared" si="1"/>
        <v>136.25</v>
      </c>
      <c r="L35">
        <f t="shared" si="1"/>
        <v>91.5</v>
      </c>
      <c r="M35">
        <f t="shared" si="1"/>
        <v>3</v>
      </c>
      <c r="N35">
        <f t="shared" si="1"/>
        <v>3</v>
      </c>
      <c r="O35">
        <f t="shared" si="2"/>
        <v>1362500</v>
      </c>
      <c r="P35">
        <f t="shared" si="3"/>
        <v>915000</v>
      </c>
      <c r="Q35">
        <f t="shared" si="4"/>
        <v>447500</v>
      </c>
      <c r="R35">
        <f t="shared" si="5"/>
        <v>2.0446927374301676</v>
      </c>
    </row>
    <row r="36" spans="1:18" ht="17" x14ac:dyDescent="0.25">
      <c r="A36" s="6">
        <v>96</v>
      </c>
      <c r="B36" t="s">
        <v>102</v>
      </c>
      <c r="C36">
        <v>17</v>
      </c>
      <c r="D36">
        <v>370</v>
      </c>
      <c r="E36">
        <v>5</v>
      </c>
      <c r="F36">
        <v>2</v>
      </c>
      <c r="J36">
        <v>456</v>
      </c>
      <c r="K36">
        <f t="shared" si="1"/>
        <v>144.25</v>
      </c>
      <c r="L36">
        <f t="shared" si="1"/>
        <v>100.25</v>
      </c>
      <c r="M36">
        <f t="shared" si="1"/>
        <v>3</v>
      </c>
      <c r="N36">
        <f t="shared" si="1"/>
        <v>3</v>
      </c>
      <c r="O36">
        <f t="shared" si="2"/>
        <v>1442500</v>
      </c>
      <c r="P36">
        <f t="shared" si="3"/>
        <v>1002500</v>
      </c>
      <c r="Q36">
        <f t="shared" si="4"/>
        <v>440000</v>
      </c>
      <c r="R36">
        <f t="shared" si="5"/>
        <v>2.2784090909090908</v>
      </c>
    </row>
    <row r="37" spans="1:18" ht="17" x14ac:dyDescent="0.25">
      <c r="A37" s="6">
        <v>96</v>
      </c>
      <c r="B37" t="s">
        <v>123</v>
      </c>
      <c r="C37">
        <v>17</v>
      </c>
      <c r="D37">
        <v>457</v>
      </c>
      <c r="E37">
        <v>5</v>
      </c>
      <c r="F37">
        <v>2</v>
      </c>
      <c r="J37">
        <v>480</v>
      </c>
      <c r="K37">
        <f t="shared" si="1"/>
        <v>144.25</v>
      </c>
      <c r="L37">
        <f t="shared" si="1"/>
        <v>100.25</v>
      </c>
      <c r="M37">
        <f t="shared" si="1"/>
        <v>3</v>
      </c>
      <c r="N37">
        <f t="shared" si="1"/>
        <v>3</v>
      </c>
      <c r="O37">
        <f t="shared" si="2"/>
        <v>1442500</v>
      </c>
      <c r="P37">
        <f t="shared" si="3"/>
        <v>1002500</v>
      </c>
      <c r="Q37">
        <f t="shared" si="4"/>
        <v>440000</v>
      </c>
      <c r="R37">
        <f t="shared" si="5"/>
        <v>2.2784090909090908</v>
      </c>
    </row>
    <row r="38" spans="1:18" ht="17" x14ac:dyDescent="0.25">
      <c r="A38" s="6">
        <v>108</v>
      </c>
      <c r="B38" t="s">
        <v>100</v>
      </c>
      <c r="C38">
        <v>14</v>
      </c>
      <c r="D38">
        <v>292</v>
      </c>
      <c r="E38">
        <v>5</v>
      </c>
      <c r="F38">
        <v>2</v>
      </c>
      <c r="J38">
        <v>504</v>
      </c>
      <c r="K38">
        <f t="shared" si="1"/>
        <v>152</v>
      </c>
      <c r="L38">
        <f t="shared" si="1"/>
        <v>117.75</v>
      </c>
      <c r="M38">
        <f t="shared" si="1"/>
        <v>3</v>
      </c>
      <c r="N38">
        <f t="shared" si="1"/>
        <v>3</v>
      </c>
      <c r="O38">
        <f t="shared" si="2"/>
        <v>1520000</v>
      </c>
      <c r="P38">
        <f t="shared" si="3"/>
        <v>1177500</v>
      </c>
      <c r="Q38">
        <f t="shared" si="4"/>
        <v>342500</v>
      </c>
      <c r="R38">
        <f t="shared" si="5"/>
        <v>3.437956204379562</v>
      </c>
    </row>
    <row r="39" spans="1:18" ht="17" x14ac:dyDescent="0.25">
      <c r="A39" s="6">
        <v>108</v>
      </c>
      <c r="B39" t="s">
        <v>122</v>
      </c>
      <c r="C39">
        <v>10</v>
      </c>
      <c r="D39">
        <v>348</v>
      </c>
      <c r="E39">
        <v>5</v>
      </c>
      <c r="F39">
        <v>2</v>
      </c>
      <c r="J39">
        <v>528</v>
      </c>
      <c r="K39">
        <f t="shared" si="1"/>
        <v>150.5</v>
      </c>
      <c r="L39">
        <f t="shared" si="1"/>
        <v>82.75</v>
      </c>
      <c r="M39">
        <f t="shared" si="1"/>
        <v>3</v>
      </c>
      <c r="N39">
        <f t="shared" si="1"/>
        <v>3</v>
      </c>
      <c r="O39">
        <f t="shared" si="2"/>
        <v>1505000</v>
      </c>
      <c r="P39">
        <f t="shared" si="3"/>
        <v>827500</v>
      </c>
      <c r="Q39">
        <f t="shared" si="4"/>
        <v>677500</v>
      </c>
      <c r="R39">
        <f t="shared" si="5"/>
        <v>1.2214022140221403</v>
      </c>
    </row>
    <row r="40" spans="1:18" ht="17" x14ac:dyDescent="0.25">
      <c r="A40" s="6">
        <v>108</v>
      </c>
      <c r="B40" t="s">
        <v>102</v>
      </c>
      <c r="C40">
        <v>4</v>
      </c>
      <c r="D40">
        <v>295</v>
      </c>
      <c r="E40">
        <v>5</v>
      </c>
      <c r="F40">
        <v>2</v>
      </c>
      <c r="J40">
        <v>552</v>
      </c>
      <c r="K40">
        <f t="shared" si="1"/>
        <v>117.5</v>
      </c>
      <c r="L40">
        <f t="shared" si="1"/>
        <v>92.5</v>
      </c>
      <c r="M40">
        <f t="shared" si="1"/>
        <v>3</v>
      </c>
      <c r="N40">
        <f t="shared" si="1"/>
        <v>3</v>
      </c>
      <c r="O40">
        <f t="shared" si="2"/>
        <v>1175000</v>
      </c>
      <c r="P40">
        <f t="shared" si="3"/>
        <v>925000</v>
      </c>
      <c r="Q40">
        <f t="shared" si="4"/>
        <v>250000</v>
      </c>
      <c r="R40">
        <f t="shared" si="5"/>
        <v>3.7</v>
      </c>
    </row>
    <row r="41" spans="1:18" ht="17" x14ac:dyDescent="0.25">
      <c r="A41" s="6">
        <v>108</v>
      </c>
      <c r="B41" t="s">
        <v>123</v>
      </c>
      <c r="C41">
        <v>10</v>
      </c>
      <c r="D41">
        <v>304</v>
      </c>
      <c r="E41">
        <v>5</v>
      </c>
      <c r="F41">
        <v>2</v>
      </c>
      <c r="J41">
        <v>600</v>
      </c>
      <c r="K41">
        <f t="shared" si="1"/>
        <v>138.75</v>
      </c>
      <c r="L41">
        <f t="shared" si="1"/>
        <v>92.25</v>
      </c>
      <c r="M41">
        <f t="shared" si="1"/>
        <v>3</v>
      </c>
      <c r="N41">
        <f t="shared" si="1"/>
        <v>3</v>
      </c>
      <c r="O41">
        <f t="shared" si="2"/>
        <v>1387500</v>
      </c>
      <c r="P41">
        <f t="shared" si="3"/>
        <v>922500</v>
      </c>
      <c r="Q41">
        <f t="shared" si="4"/>
        <v>465000</v>
      </c>
      <c r="R41">
        <f t="shared" si="5"/>
        <v>1.9838709677419355</v>
      </c>
    </row>
    <row r="42" spans="1:18" ht="17" x14ac:dyDescent="0.25">
      <c r="A42" s="6">
        <v>120</v>
      </c>
      <c r="B42" t="s">
        <v>100</v>
      </c>
      <c r="C42">
        <v>89</v>
      </c>
      <c r="D42">
        <v>54</v>
      </c>
      <c r="E42">
        <v>4</v>
      </c>
      <c r="F42">
        <v>3</v>
      </c>
      <c r="J42">
        <v>624</v>
      </c>
      <c r="K42">
        <f t="shared" si="1"/>
        <v>141</v>
      </c>
      <c r="L42">
        <f t="shared" si="1"/>
        <v>101.75</v>
      </c>
      <c r="M42">
        <f t="shared" si="1"/>
        <v>3</v>
      </c>
      <c r="N42">
        <f t="shared" si="1"/>
        <v>3</v>
      </c>
      <c r="O42">
        <f t="shared" si="2"/>
        <v>1410000</v>
      </c>
      <c r="P42">
        <f t="shared" si="3"/>
        <v>1017500</v>
      </c>
      <c r="Q42">
        <f t="shared" si="4"/>
        <v>392500</v>
      </c>
      <c r="R42">
        <f t="shared" si="5"/>
        <v>2.5923566878980893</v>
      </c>
    </row>
    <row r="43" spans="1:18" ht="17" x14ac:dyDescent="0.25">
      <c r="A43" s="6">
        <v>120</v>
      </c>
      <c r="B43" t="s">
        <v>122</v>
      </c>
      <c r="C43">
        <v>80</v>
      </c>
      <c r="D43">
        <v>51</v>
      </c>
      <c r="E43">
        <v>4</v>
      </c>
      <c r="F43">
        <v>3</v>
      </c>
      <c r="J43">
        <v>648</v>
      </c>
      <c r="K43">
        <f t="shared" si="1"/>
        <v>138.25</v>
      </c>
      <c r="L43">
        <f t="shared" si="1"/>
        <v>111</v>
      </c>
      <c r="M43">
        <f t="shared" si="1"/>
        <v>3</v>
      </c>
      <c r="N43">
        <f t="shared" si="1"/>
        <v>3</v>
      </c>
      <c r="O43">
        <f t="shared" si="2"/>
        <v>1382500</v>
      </c>
      <c r="P43">
        <f t="shared" si="3"/>
        <v>1110000</v>
      </c>
      <c r="Q43">
        <f t="shared" si="4"/>
        <v>272500</v>
      </c>
      <c r="R43">
        <f t="shared" si="5"/>
        <v>4.0733944954128436</v>
      </c>
    </row>
    <row r="44" spans="1:18" ht="17" x14ac:dyDescent="0.25">
      <c r="A44" s="6">
        <v>120</v>
      </c>
      <c r="B44" t="s">
        <v>102</v>
      </c>
      <c r="C44">
        <v>83</v>
      </c>
      <c r="D44">
        <v>46</v>
      </c>
      <c r="E44">
        <v>4</v>
      </c>
      <c r="F44">
        <v>3</v>
      </c>
      <c r="J44">
        <v>672</v>
      </c>
      <c r="K44">
        <f t="shared" si="1"/>
        <v>144.75</v>
      </c>
      <c r="L44">
        <f t="shared" si="1"/>
        <v>96.75</v>
      </c>
      <c r="M44">
        <f t="shared" si="1"/>
        <v>3</v>
      </c>
      <c r="N44">
        <f t="shared" si="1"/>
        <v>3</v>
      </c>
      <c r="O44">
        <f t="shared" si="2"/>
        <v>1447500</v>
      </c>
      <c r="P44">
        <f t="shared" si="3"/>
        <v>967500</v>
      </c>
      <c r="Q44">
        <f t="shared" si="4"/>
        <v>480000</v>
      </c>
      <c r="R44">
        <f t="shared" si="5"/>
        <v>2.015625</v>
      </c>
    </row>
    <row r="45" spans="1:18" ht="17" x14ac:dyDescent="0.25">
      <c r="A45" s="6">
        <v>120</v>
      </c>
      <c r="B45" t="s">
        <v>123</v>
      </c>
      <c r="C45">
        <v>101</v>
      </c>
      <c r="D45">
        <v>49</v>
      </c>
      <c r="E45">
        <v>4</v>
      </c>
      <c r="F45">
        <v>3</v>
      </c>
      <c r="J45">
        <v>696</v>
      </c>
      <c r="K45">
        <f t="shared" si="1"/>
        <v>129.75</v>
      </c>
      <c r="L45">
        <f t="shared" si="1"/>
        <v>101</v>
      </c>
      <c r="M45">
        <f t="shared" si="1"/>
        <v>3</v>
      </c>
      <c r="N45">
        <f t="shared" si="1"/>
        <v>3</v>
      </c>
      <c r="O45">
        <f t="shared" si="2"/>
        <v>1297500</v>
      </c>
      <c r="P45">
        <f t="shared" si="3"/>
        <v>1010000</v>
      </c>
      <c r="Q45">
        <f t="shared" si="4"/>
        <v>287500</v>
      </c>
      <c r="R45">
        <f t="shared" si="5"/>
        <v>3.5130434782608697</v>
      </c>
    </row>
    <row r="46" spans="1:18" ht="17" x14ac:dyDescent="0.25">
      <c r="A46" s="6">
        <v>132</v>
      </c>
      <c r="B46" t="s">
        <v>100</v>
      </c>
      <c r="C46">
        <v>83</v>
      </c>
      <c r="D46">
        <v>49</v>
      </c>
      <c r="E46">
        <v>4</v>
      </c>
      <c r="F46">
        <v>3</v>
      </c>
      <c r="J46">
        <v>744</v>
      </c>
      <c r="K46">
        <f t="shared" si="1"/>
        <v>134.75</v>
      </c>
      <c r="L46">
        <f t="shared" si="1"/>
        <v>100.25</v>
      </c>
      <c r="M46">
        <f t="shared" si="1"/>
        <v>3</v>
      </c>
      <c r="N46">
        <f t="shared" si="1"/>
        <v>3</v>
      </c>
      <c r="O46">
        <f t="shared" si="2"/>
        <v>1347500</v>
      </c>
      <c r="P46">
        <f t="shared" si="3"/>
        <v>1002500</v>
      </c>
      <c r="Q46">
        <f t="shared" si="4"/>
        <v>345000</v>
      </c>
      <c r="R46">
        <f t="shared" si="5"/>
        <v>2.9057971014492754</v>
      </c>
    </row>
    <row r="47" spans="1:18" ht="17" x14ac:dyDescent="0.25">
      <c r="A47" s="6">
        <v>132</v>
      </c>
      <c r="B47" t="s">
        <v>122</v>
      </c>
      <c r="C47">
        <v>62</v>
      </c>
      <c r="D47">
        <v>54</v>
      </c>
      <c r="E47">
        <v>4</v>
      </c>
      <c r="F47">
        <v>3</v>
      </c>
      <c r="J47">
        <v>792</v>
      </c>
      <c r="K47">
        <f t="shared" ref="K47:N49" si="6">AVERAGEIF($A:$A,$J47,C:C)</f>
        <v>116.33333333333333</v>
      </c>
      <c r="L47">
        <f t="shared" si="6"/>
        <v>92</v>
      </c>
      <c r="M47">
        <f t="shared" si="6"/>
        <v>3</v>
      </c>
      <c r="N47">
        <f t="shared" si="6"/>
        <v>3</v>
      </c>
      <c r="O47">
        <f t="shared" si="2"/>
        <v>1163333.3333333333</v>
      </c>
      <c r="P47">
        <f t="shared" si="3"/>
        <v>920000</v>
      </c>
      <c r="Q47">
        <f t="shared" si="4"/>
        <v>243333.33333333326</v>
      </c>
      <c r="R47">
        <f t="shared" si="5"/>
        <v>3.7808219178082205</v>
      </c>
    </row>
    <row r="48" spans="1:18" ht="17" x14ac:dyDescent="0.25">
      <c r="A48" s="6">
        <v>132</v>
      </c>
      <c r="B48" t="s">
        <v>102</v>
      </c>
      <c r="C48">
        <v>64</v>
      </c>
      <c r="D48">
        <v>57</v>
      </c>
      <c r="E48">
        <v>4</v>
      </c>
      <c r="F48">
        <v>3</v>
      </c>
      <c r="J48">
        <v>840</v>
      </c>
      <c r="K48">
        <f t="shared" si="6"/>
        <v>129.5</v>
      </c>
      <c r="L48">
        <f t="shared" si="6"/>
        <v>102.5</v>
      </c>
      <c r="M48">
        <f t="shared" si="6"/>
        <v>3</v>
      </c>
      <c r="N48">
        <f t="shared" si="6"/>
        <v>3</v>
      </c>
      <c r="O48">
        <f t="shared" si="2"/>
        <v>1295000</v>
      </c>
      <c r="P48">
        <f t="shared" si="3"/>
        <v>1025000</v>
      </c>
      <c r="Q48">
        <f t="shared" si="4"/>
        <v>270000</v>
      </c>
      <c r="R48">
        <f t="shared" si="5"/>
        <v>3.7962962962962963</v>
      </c>
    </row>
    <row r="49" spans="1:18" ht="17" x14ac:dyDescent="0.25">
      <c r="A49" s="6">
        <v>132</v>
      </c>
      <c r="B49" t="s">
        <v>123</v>
      </c>
      <c r="C49">
        <v>83</v>
      </c>
      <c r="D49">
        <v>63</v>
      </c>
      <c r="E49">
        <v>4</v>
      </c>
      <c r="F49">
        <v>3</v>
      </c>
      <c r="J49">
        <v>888</v>
      </c>
      <c r="K49">
        <f t="shared" si="6"/>
        <v>118.75</v>
      </c>
      <c r="L49">
        <f t="shared" si="6"/>
        <v>117.25</v>
      </c>
      <c r="M49">
        <f t="shared" si="6"/>
        <v>3</v>
      </c>
      <c r="N49">
        <f t="shared" si="6"/>
        <v>3</v>
      </c>
      <c r="O49">
        <f t="shared" si="2"/>
        <v>1187500</v>
      </c>
      <c r="P49">
        <f t="shared" si="3"/>
        <v>1172500</v>
      </c>
      <c r="Q49">
        <f t="shared" si="4"/>
        <v>15000</v>
      </c>
      <c r="R49">
        <f t="shared" si="5"/>
        <v>78.166666666666671</v>
      </c>
    </row>
    <row r="50" spans="1:18" ht="17" x14ac:dyDescent="0.25">
      <c r="A50" s="6">
        <v>144</v>
      </c>
      <c r="B50" t="s">
        <v>100</v>
      </c>
      <c r="C50">
        <v>63</v>
      </c>
      <c r="D50">
        <v>41</v>
      </c>
      <c r="E50">
        <v>4</v>
      </c>
      <c r="F50">
        <v>3</v>
      </c>
    </row>
    <row r="51" spans="1:18" ht="17" x14ac:dyDescent="0.25">
      <c r="A51" s="6">
        <v>144</v>
      </c>
      <c r="B51" t="s">
        <v>122</v>
      </c>
      <c r="C51">
        <v>70</v>
      </c>
      <c r="D51">
        <v>57</v>
      </c>
      <c r="E51">
        <v>4</v>
      </c>
      <c r="F51">
        <v>3</v>
      </c>
    </row>
    <row r="52" spans="1:18" ht="17" x14ac:dyDescent="0.25">
      <c r="A52" s="6">
        <v>144</v>
      </c>
      <c r="B52" t="s">
        <v>102</v>
      </c>
      <c r="C52">
        <v>45</v>
      </c>
      <c r="D52">
        <v>56</v>
      </c>
      <c r="E52">
        <v>4</v>
      </c>
      <c r="F52">
        <v>3</v>
      </c>
    </row>
    <row r="53" spans="1:18" ht="17" x14ac:dyDescent="0.25">
      <c r="A53" s="6">
        <v>144</v>
      </c>
      <c r="B53" t="s">
        <v>123</v>
      </c>
      <c r="C53">
        <v>52</v>
      </c>
      <c r="D53">
        <v>64</v>
      </c>
      <c r="E53">
        <v>4</v>
      </c>
      <c r="F53">
        <v>3</v>
      </c>
    </row>
    <row r="54" spans="1:18" ht="17" x14ac:dyDescent="0.25">
      <c r="A54" s="6">
        <v>156</v>
      </c>
      <c r="B54" t="s">
        <v>100</v>
      </c>
      <c r="C54">
        <v>55</v>
      </c>
      <c r="D54">
        <v>51</v>
      </c>
      <c r="E54">
        <v>4</v>
      </c>
      <c r="F54">
        <v>3</v>
      </c>
    </row>
    <row r="55" spans="1:18" ht="17" x14ac:dyDescent="0.25">
      <c r="A55" s="6">
        <v>156</v>
      </c>
      <c r="B55" t="s">
        <v>122</v>
      </c>
      <c r="C55">
        <v>51</v>
      </c>
      <c r="D55">
        <v>60</v>
      </c>
      <c r="E55">
        <v>4</v>
      </c>
      <c r="F55">
        <v>3</v>
      </c>
    </row>
    <row r="56" spans="1:18" ht="17" x14ac:dyDescent="0.25">
      <c r="A56" s="6">
        <v>156</v>
      </c>
      <c r="B56" t="s">
        <v>102</v>
      </c>
      <c r="C56">
        <v>63</v>
      </c>
      <c r="D56">
        <v>57</v>
      </c>
      <c r="E56">
        <v>4</v>
      </c>
      <c r="F56">
        <v>3</v>
      </c>
    </row>
    <row r="57" spans="1:18" ht="17" x14ac:dyDescent="0.25">
      <c r="A57" s="6">
        <v>156</v>
      </c>
      <c r="B57" t="s">
        <v>123</v>
      </c>
      <c r="C57">
        <v>56</v>
      </c>
      <c r="D57">
        <v>78</v>
      </c>
      <c r="E57">
        <v>4</v>
      </c>
      <c r="F57">
        <v>3</v>
      </c>
    </row>
    <row r="58" spans="1:18" ht="17" x14ac:dyDescent="0.25">
      <c r="A58" s="6">
        <v>168</v>
      </c>
      <c r="B58" t="s">
        <v>100</v>
      </c>
      <c r="C58">
        <v>43</v>
      </c>
      <c r="D58">
        <v>44</v>
      </c>
      <c r="E58">
        <v>4</v>
      </c>
      <c r="F58">
        <v>3</v>
      </c>
    </row>
    <row r="59" spans="1:18" ht="17" x14ac:dyDescent="0.25">
      <c r="A59" s="6">
        <v>168</v>
      </c>
      <c r="B59" t="s">
        <v>122</v>
      </c>
      <c r="C59">
        <v>39</v>
      </c>
      <c r="D59">
        <v>54</v>
      </c>
      <c r="E59">
        <v>4</v>
      </c>
      <c r="F59">
        <v>3</v>
      </c>
    </row>
    <row r="60" spans="1:18" ht="17" x14ac:dyDescent="0.25">
      <c r="A60" s="6">
        <v>168</v>
      </c>
      <c r="B60" t="s">
        <v>102</v>
      </c>
      <c r="C60">
        <v>30</v>
      </c>
      <c r="D60">
        <v>46</v>
      </c>
      <c r="E60">
        <v>4</v>
      </c>
      <c r="F60">
        <v>3</v>
      </c>
    </row>
    <row r="61" spans="1:18" ht="17" x14ac:dyDescent="0.25">
      <c r="A61" s="6">
        <v>168</v>
      </c>
      <c r="B61" t="s">
        <v>123</v>
      </c>
      <c r="C61">
        <v>28</v>
      </c>
      <c r="D61">
        <v>59</v>
      </c>
      <c r="E61">
        <v>4</v>
      </c>
      <c r="F61">
        <v>3</v>
      </c>
    </row>
    <row r="62" spans="1:18" ht="17" x14ac:dyDescent="0.25">
      <c r="A62" s="6">
        <v>180</v>
      </c>
      <c r="B62" t="s">
        <v>100</v>
      </c>
      <c r="C62">
        <v>40</v>
      </c>
      <c r="D62">
        <v>50</v>
      </c>
      <c r="E62">
        <v>4</v>
      </c>
      <c r="F62">
        <v>3</v>
      </c>
    </row>
    <row r="63" spans="1:18" ht="17" x14ac:dyDescent="0.25">
      <c r="A63" s="6">
        <v>180</v>
      </c>
      <c r="B63" t="s">
        <v>122</v>
      </c>
      <c r="C63">
        <v>27</v>
      </c>
      <c r="D63">
        <v>66</v>
      </c>
      <c r="E63">
        <v>4</v>
      </c>
      <c r="F63">
        <v>3</v>
      </c>
    </row>
    <row r="64" spans="1:18" ht="17" x14ac:dyDescent="0.25">
      <c r="A64" s="6">
        <v>180</v>
      </c>
      <c r="B64" t="s">
        <v>102</v>
      </c>
      <c r="C64">
        <v>32</v>
      </c>
      <c r="D64">
        <v>71</v>
      </c>
      <c r="E64">
        <v>4</v>
      </c>
      <c r="F64">
        <v>3</v>
      </c>
    </row>
    <row r="65" spans="1:6" ht="17" x14ac:dyDescent="0.25">
      <c r="A65" s="6">
        <v>180</v>
      </c>
      <c r="B65" t="s">
        <v>123</v>
      </c>
      <c r="C65">
        <v>25</v>
      </c>
      <c r="D65">
        <v>67</v>
      </c>
      <c r="E65">
        <v>4</v>
      </c>
      <c r="F65">
        <v>3</v>
      </c>
    </row>
    <row r="66" spans="1:6" ht="17" x14ac:dyDescent="0.25">
      <c r="A66" s="6">
        <v>192</v>
      </c>
      <c r="B66" t="s">
        <v>100</v>
      </c>
      <c r="C66">
        <v>33</v>
      </c>
      <c r="D66">
        <v>57</v>
      </c>
      <c r="E66">
        <v>4</v>
      </c>
      <c r="F66">
        <v>3</v>
      </c>
    </row>
    <row r="67" spans="1:6" ht="17" x14ac:dyDescent="0.25">
      <c r="A67" s="6">
        <v>192</v>
      </c>
      <c r="B67" t="s">
        <v>122</v>
      </c>
      <c r="C67">
        <v>34</v>
      </c>
      <c r="D67">
        <v>60</v>
      </c>
      <c r="E67">
        <v>4</v>
      </c>
      <c r="F67">
        <v>3</v>
      </c>
    </row>
    <row r="68" spans="1:6" ht="17" x14ac:dyDescent="0.25">
      <c r="A68" s="6">
        <v>192</v>
      </c>
      <c r="B68" t="s">
        <v>102</v>
      </c>
      <c r="C68">
        <v>34</v>
      </c>
      <c r="D68">
        <v>63</v>
      </c>
      <c r="E68">
        <v>4</v>
      </c>
      <c r="F68">
        <v>3</v>
      </c>
    </row>
    <row r="69" spans="1:6" ht="17" x14ac:dyDescent="0.25">
      <c r="A69" s="6">
        <v>192</v>
      </c>
      <c r="B69" t="s">
        <v>123</v>
      </c>
      <c r="C69">
        <v>30</v>
      </c>
      <c r="D69">
        <v>67</v>
      </c>
      <c r="E69">
        <v>4</v>
      </c>
      <c r="F69">
        <v>3</v>
      </c>
    </row>
    <row r="70" spans="1:6" ht="17" x14ac:dyDescent="0.25">
      <c r="A70" s="6">
        <v>204</v>
      </c>
      <c r="B70" t="s">
        <v>100</v>
      </c>
      <c r="C70">
        <v>22</v>
      </c>
      <c r="D70">
        <v>82</v>
      </c>
      <c r="E70">
        <v>4</v>
      </c>
      <c r="F70">
        <v>3</v>
      </c>
    </row>
    <row r="71" spans="1:6" ht="17" x14ac:dyDescent="0.25">
      <c r="A71" s="6">
        <v>204</v>
      </c>
      <c r="B71" t="s">
        <v>122</v>
      </c>
      <c r="C71">
        <v>30</v>
      </c>
      <c r="D71">
        <v>79</v>
      </c>
      <c r="E71">
        <v>4</v>
      </c>
      <c r="F71">
        <v>3</v>
      </c>
    </row>
    <row r="72" spans="1:6" ht="17" x14ac:dyDescent="0.25">
      <c r="A72" s="6">
        <v>204</v>
      </c>
      <c r="B72" t="s">
        <v>102</v>
      </c>
      <c r="C72">
        <v>30</v>
      </c>
      <c r="D72">
        <v>99</v>
      </c>
      <c r="E72">
        <v>4</v>
      </c>
      <c r="F72">
        <v>3</v>
      </c>
    </row>
    <row r="73" spans="1:6" ht="17" x14ac:dyDescent="0.25">
      <c r="A73" s="6">
        <v>204</v>
      </c>
      <c r="B73" t="s">
        <v>123</v>
      </c>
      <c r="C73">
        <v>23</v>
      </c>
      <c r="D73">
        <v>81</v>
      </c>
      <c r="E73">
        <v>4</v>
      </c>
      <c r="F73">
        <v>3</v>
      </c>
    </row>
    <row r="74" spans="1:6" ht="17" x14ac:dyDescent="0.25">
      <c r="A74" s="6">
        <v>216</v>
      </c>
      <c r="B74" t="s">
        <v>100</v>
      </c>
      <c r="C74">
        <v>139</v>
      </c>
      <c r="D74">
        <v>73</v>
      </c>
      <c r="E74">
        <v>3</v>
      </c>
      <c r="F74">
        <v>3</v>
      </c>
    </row>
    <row r="75" spans="1:6" ht="17" x14ac:dyDescent="0.25">
      <c r="A75" s="6">
        <v>216</v>
      </c>
      <c r="B75" t="s">
        <v>122</v>
      </c>
      <c r="C75">
        <v>124</v>
      </c>
      <c r="D75">
        <v>78</v>
      </c>
      <c r="E75">
        <v>3</v>
      </c>
      <c r="F75">
        <v>3</v>
      </c>
    </row>
    <row r="76" spans="1:6" ht="17" x14ac:dyDescent="0.25">
      <c r="A76" s="6">
        <v>216</v>
      </c>
      <c r="B76" t="s">
        <v>102</v>
      </c>
      <c r="C76">
        <v>108</v>
      </c>
      <c r="D76">
        <v>73</v>
      </c>
      <c r="E76">
        <v>3</v>
      </c>
      <c r="F76">
        <v>3</v>
      </c>
    </row>
    <row r="77" spans="1:6" ht="17" x14ac:dyDescent="0.25">
      <c r="A77" s="6">
        <v>216</v>
      </c>
      <c r="B77" t="s">
        <v>123</v>
      </c>
      <c r="C77">
        <v>163</v>
      </c>
      <c r="D77">
        <v>83</v>
      </c>
      <c r="E77">
        <v>3</v>
      </c>
      <c r="F77">
        <v>3</v>
      </c>
    </row>
    <row r="78" spans="1:6" ht="17" x14ac:dyDescent="0.25">
      <c r="A78" s="6">
        <v>240</v>
      </c>
      <c r="B78" t="s">
        <v>100</v>
      </c>
      <c r="C78">
        <v>94</v>
      </c>
      <c r="D78">
        <v>67</v>
      </c>
      <c r="E78">
        <v>3</v>
      </c>
      <c r="F78">
        <v>3</v>
      </c>
    </row>
    <row r="79" spans="1:6" ht="17" x14ac:dyDescent="0.25">
      <c r="A79" s="6">
        <v>240</v>
      </c>
      <c r="B79" t="s">
        <v>122</v>
      </c>
      <c r="C79">
        <v>95</v>
      </c>
      <c r="D79">
        <v>70</v>
      </c>
      <c r="E79">
        <v>3</v>
      </c>
      <c r="F79">
        <v>3</v>
      </c>
    </row>
    <row r="80" spans="1:6" ht="17" x14ac:dyDescent="0.25">
      <c r="A80" s="6">
        <v>240</v>
      </c>
      <c r="B80" t="s">
        <v>102</v>
      </c>
      <c r="C80">
        <v>73</v>
      </c>
      <c r="D80">
        <v>61</v>
      </c>
      <c r="E80">
        <v>3</v>
      </c>
      <c r="F80">
        <v>3</v>
      </c>
    </row>
    <row r="81" spans="1:6" ht="17" x14ac:dyDescent="0.25">
      <c r="A81" s="6">
        <v>240</v>
      </c>
      <c r="B81" t="s">
        <v>123</v>
      </c>
      <c r="C81">
        <v>90</v>
      </c>
      <c r="D81">
        <v>73</v>
      </c>
      <c r="E81">
        <v>3</v>
      </c>
      <c r="F81">
        <v>3</v>
      </c>
    </row>
    <row r="82" spans="1:6" ht="17" x14ac:dyDescent="0.25">
      <c r="A82" s="6">
        <v>264</v>
      </c>
      <c r="B82" t="s">
        <v>100</v>
      </c>
      <c r="C82">
        <v>101</v>
      </c>
      <c r="D82">
        <v>86</v>
      </c>
      <c r="E82">
        <v>3</v>
      </c>
      <c r="F82">
        <v>3</v>
      </c>
    </row>
    <row r="83" spans="1:6" ht="17" x14ac:dyDescent="0.25">
      <c r="A83" s="6">
        <v>264</v>
      </c>
      <c r="B83" t="s">
        <v>122</v>
      </c>
      <c r="C83">
        <v>97</v>
      </c>
      <c r="D83">
        <v>79</v>
      </c>
      <c r="E83">
        <v>3</v>
      </c>
      <c r="F83">
        <v>3</v>
      </c>
    </row>
    <row r="84" spans="1:6" ht="17" x14ac:dyDescent="0.25">
      <c r="A84" s="6">
        <v>264</v>
      </c>
      <c r="B84" t="s">
        <v>102</v>
      </c>
      <c r="C84">
        <v>105</v>
      </c>
      <c r="D84">
        <v>73</v>
      </c>
      <c r="E84">
        <v>3</v>
      </c>
      <c r="F84">
        <v>3</v>
      </c>
    </row>
    <row r="85" spans="1:6" ht="17" x14ac:dyDescent="0.25">
      <c r="A85" s="6">
        <v>264</v>
      </c>
      <c r="B85" t="s">
        <v>123</v>
      </c>
      <c r="C85">
        <v>102</v>
      </c>
      <c r="D85">
        <v>79</v>
      </c>
      <c r="E85">
        <v>3</v>
      </c>
      <c r="F85">
        <v>3</v>
      </c>
    </row>
    <row r="86" spans="1:6" ht="17" x14ac:dyDescent="0.25">
      <c r="A86" s="6">
        <v>288</v>
      </c>
      <c r="B86" t="s">
        <v>100</v>
      </c>
      <c r="C86">
        <v>107</v>
      </c>
      <c r="D86">
        <v>83</v>
      </c>
      <c r="E86">
        <v>3</v>
      </c>
      <c r="F86">
        <v>3</v>
      </c>
    </row>
    <row r="87" spans="1:6" ht="17" x14ac:dyDescent="0.25">
      <c r="A87" s="6">
        <v>288</v>
      </c>
      <c r="B87" t="s">
        <v>122</v>
      </c>
      <c r="C87">
        <v>114</v>
      </c>
      <c r="D87">
        <v>80</v>
      </c>
      <c r="E87">
        <v>3</v>
      </c>
      <c r="F87">
        <v>3</v>
      </c>
    </row>
    <row r="88" spans="1:6" ht="17" x14ac:dyDescent="0.25">
      <c r="A88" s="6">
        <v>288</v>
      </c>
      <c r="B88" t="s">
        <v>102</v>
      </c>
      <c r="C88">
        <v>100</v>
      </c>
      <c r="D88">
        <v>79</v>
      </c>
      <c r="E88">
        <v>3</v>
      </c>
      <c r="F88">
        <v>3</v>
      </c>
    </row>
    <row r="89" spans="1:6" ht="17" x14ac:dyDescent="0.25">
      <c r="A89" s="6">
        <v>288</v>
      </c>
      <c r="B89" t="s">
        <v>123</v>
      </c>
      <c r="C89">
        <v>118</v>
      </c>
      <c r="D89">
        <v>89</v>
      </c>
      <c r="E89">
        <v>3</v>
      </c>
      <c r="F89">
        <v>3</v>
      </c>
    </row>
    <row r="90" spans="1:6" ht="17" x14ac:dyDescent="0.25">
      <c r="A90" s="6">
        <v>300</v>
      </c>
      <c r="B90" t="s">
        <v>100</v>
      </c>
      <c r="C90">
        <v>150</v>
      </c>
      <c r="D90">
        <v>119</v>
      </c>
      <c r="E90">
        <v>3</v>
      </c>
      <c r="F90">
        <v>3</v>
      </c>
    </row>
    <row r="91" spans="1:6" ht="17" x14ac:dyDescent="0.25">
      <c r="A91" s="6">
        <v>300</v>
      </c>
      <c r="B91" t="s">
        <v>122</v>
      </c>
      <c r="C91">
        <v>142</v>
      </c>
      <c r="D91">
        <v>126</v>
      </c>
      <c r="E91">
        <v>3</v>
      </c>
      <c r="F91">
        <v>3</v>
      </c>
    </row>
    <row r="92" spans="1:6" ht="17" x14ac:dyDescent="0.25">
      <c r="A92" s="6">
        <v>300</v>
      </c>
      <c r="B92" t="s">
        <v>102</v>
      </c>
      <c r="C92">
        <v>125</v>
      </c>
      <c r="D92">
        <v>111</v>
      </c>
      <c r="E92">
        <v>3</v>
      </c>
      <c r="F92">
        <v>3</v>
      </c>
    </row>
    <row r="93" spans="1:6" ht="17" x14ac:dyDescent="0.25">
      <c r="A93" s="6">
        <v>300</v>
      </c>
      <c r="B93" t="s">
        <v>123</v>
      </c>
      <c r="C93">
        <v>116</v>
      </c>
      <c r="D93">
        <v>101</v>
      </c>
      <c r="E93">
        <v>3</v>
      </c>
      <c r="F93">
        <v>3</v>
      </c>
    </row>
    <row r="94" spans="1:6" ht="17" x14ac:dyDescent="0.25">
      <c r="A94" s="6">
        <v>312</v>
      </c>
      <c r="B94" t="s">
        <v>100</v>
      </c>
      <c r="C94">
        <v>107</v>
      </c>
      <c r="D94">
        <v>86</v>
      </c>
      <c r="E94">
        <v>3</v>
      </c>
      <c r="F94">
        <v>3</v>
      </c>
    </row>
    <row r="95" spans="1:6" ht="17" x14ac:dyDescent="0.25">
      <c r="A95" s="6">
        <v>312</v>
      </c>
      <c r="B95" t="s">
        <v>122</v>
      </c>
      <c r="C95">
        <v>101</v>
      </c>
      <c r="D95">
        <v>103</v>
      </c>
      <c r="E95">
        <v>3</v>
      </c>
      <c r="F95">
        <v>3</v>
      </c>
    </row>
    <row r="96" spans="1:6" ht="17" x14ac:dyDescent="0.25">
      <c r="A96" s="6">
        <v>312</v>
      </c>
      <c r="B96" t="s">
        <v>102</v>
      </c>
      <c r="C96">
        <v>78</v>
      </c>
      <c r="D96">
        <v>101</v>
      </c>
      <c r="E96">
        <v>3</v>
      </c>
      <c r="F96">
        <v>3</v>
      </c>
    </row>
    <row r="97" spans="1:6" ht="17" x14ac:dyDescent="0.25">
      <c r="A97" s="6">
        <v>312</v>
      </c>
      <c r="B97" t="s">
        <v>123</v>
      </c>
      <c r="C97">
        <v>93</v>
      </c>
      <c r="D97">
        <v>87</v>
      </c>
      <c r="E97">
        <v>3</v>
      </c>
      <c r="F97">
        <v>3</v>
      </c>
    </row>
    <row r="98" spans="1:6" ht="17" x14ac:dyDescent="0.25">
      <c r="A98" s="6">
        <v>324</v>
      </c>
      <c r="B98" t="s">
        <v>100</v>
      </c>
      <c r="C98">
        <v>166</v>
      </c>
      <c r="D98">
        <v>128</v>
      </c>
      <c r="E98">
        <v>3</v>
      </c>
      <c r="F98">
        <v>3</v>
      </c>
    </row>
    <row r="99" spans="1:6" ht="17" x14ac:dyDescent="0.25">
      <c r="A99" s="6">
        <v>324</v>
      </c>
      <c r="B99" t="s">
        <v>122</v>
      </c>
      <c r="C99">
        <v>181</v>
      </c>
      <c r="D99">
        <v>98</v>
      </c>
      <c r="E99">
        <v>3</v>
      </c>
      <c r="F99">
        <v>3</v>
      </c>
    </row>
    <row r="100" spans="1:6" ht="17" x14ac:dyDescent="0.25">
      <c r="A100" s="6">
        <v>324</v>
      </c>
      <c r="B100" t="s">
        <v>102</v>
      </c>
      <c r="C100">
        <v>82</v>
      </c>
      <c r="D100">
        <v>98</v>
      </c>
      <c r="E100">
        <v>3</v>
      </c>
      <c r="F100">
        <v>3</v>
      </c>
    </row>
    <row r="101" spans="1:6" ht="17" x14ac:dyDescent="0.25">
      <c r="A101" s="6">
        <v>324</v>
      </c>
      <c r="B101" t="s">
        <v>123</v>
      </c>
      <c r="C101">
        <v>110</v>
      </c>
      <c r="D101">
        <v>97</v>
      </c>
      <c r="E101">
        <v>3</v>
      </c>
      <c r="F101">
        <v>3</v>
      </c>
    </row>
    <row r="102" spans="1:6" ht="17" x14ac:dyDescent="0.25">
      <c r="A102" s="6">
        <v>336</v>
      </c>
      <c r="B102" t="s">
        <v>100</v>
      </c>
      <c r="C102">
        <v>141</v>
      </c>
      <c r="D102">
        <v>115</v>
      </c>
      <c r="E102">
        <v>3</v>
      </c>
      <c r="F102">
        <v>3</v>
      </c>
    </row>
    <row r="103" spans="1:6" ht="17" x14ac:dyDescent="0.25">
      <c r="A103" s="6">
        <v>336</v>
      </c>
      <c r="B103" t="s">
        <v>122</v>
      </c>
      <c r="C103">
        <v>138</v>
      </c>
      <c r="D103">
        <v>120</v>
      </c>
      <c r="E103">
        <v>3</v>
      </c>
      <c r="F103">
        <v>3</v>
      </c>
    </row>
    <row r="104" spans="1:6" ht="17" x14ac:dyDescent="0.25">
      <c r="A104" s="6">
        <v>336</v>
      </c>
      <c r="B104" t="s">
        <v>102</v>
      </c>
      <c r="C104">
        <v>86</v>
      </c>
      <c r="D104">
        <v>64</v>
      </c>
      <c r="E104">
        <v>3</v>
      </c>
      <c r="F104">
        <v>3</v>
      </c>
    </row>
    <row r="105" spans="1:6" ht="17" x14ac:dyDescent="0.25">
      <c r="A105" s="6">
        <v>336</v>
      </c>
      <c r="B105" t="s">
        <v>123</v>
      </c>
      <c r="C105">
        <v>97</v>
      </c>
      <c r="D105">
        <v>80</v>
      </c>
      <c r="E105">
        <v>3</v>
      </c>
      <c r="F105">
        <v>3</v>
      </c>
    </row>
    <row r="106" spans="1:6" ht="17" x14ac:dyDescent="0.25">
      <c r="A106" s="6">
        <v>348</v>
      </c>
      <c r="B106" t="s">
        <v>100</v>
      </c>
      <c r="C106">
        <v>136</v>
      </c>
      <c r="D106">
        <v>116</v>
      </c>
      <c r="E106">
        <v>3</v>
      </c>
      <c r="F106">
        <v>3</v>
      </c>
    </row>
    <row r="107" spans="1:6" ht="17" x14ac:dyDescent="0.25">
      <c r="A107" s="6">
        <v>348</v>
      </c>
      <c r="B107" t="s">
        <v>122</v>
      </c>
      <c r="C107">
        <v>141</v>
      </c>
      <c r="D107">
        <v>86</v>
      </c>
      <c r="E107">
        <v>3</v>
      </c>
      <c r="F107">
        <v>3</v>
      </c>
    </row>
    <row r="108" spans="1:6" ht="17" x14ac:dyDescent="0.25">
      <c r="A108" s="6">
        <v>348</v>
      </c>
      <c r="B108" t="s">
        <v>102</v>
      </c>
      <c r="C108">
        <v>74</v>
      </c>
      <c r="D108">
        <v>53</v>
      </c>
      <c r="E108">
        <v>3</v>
      </c>
      <c r="F108">
        <v>3</v>
      </c>
    </row>
    <row r="109" spans="1:6" ht="17" x14ac:dyDescent="0.25">
      <c r="A109" s="6">
        <v>348</v>
      </c>
      <c r="B109" t="s">
        <v>123</v>
      </c>
      <c r="C109">
        <v>125</v>
      </c>
      <c r="D109">
        <v>89</v>
      </c>
      <c r="E109">
        <v>3</v>
      </c>
      <c r="F109">
        <v>3</v>
      </c>
    </row>
    <row r="110" spans="1:6" ht="17" x14ac:dyDescent="0.25">
      <c r="A110" s="6">
        <v>360</v>
      </c>
      <c r="B110" t="s">
        <v>100</v>
      </c>
      <c r="C110">
        <v>138</v>
      </c>
      <c r="D110">
        <v>104</v>
      </c>
      <c r="E110">
        <v>3</v>
      </c>
      <c r="F110">
        <v>3</v>
      </c>
    </row>
    <row r="111" spans="1:6" ht="17" x14ac:dyDescent="0.25">
      <c r="A111" s="6">
        <v>360</v>
      </c>
      <c r="B111" t="s">
        <v>122</v>
      </c>
      <c r="C111">
        <v>110</v>
      </c>
      <c r="D111">
        <v>95</v>
      </c>
      <c r="E111">
        <v>3</v>
      </c>
      <c r="F111">
        <v>3</v>
      </c>
    </row>
    <row r="112" spans="1:6" ht="17" x14ac:dyDescent="0.25">
      <c r="A112" s="6">
        <v>360</v>
      </c>
      <c r="B112" t="s">
        <v>102</v>
      </c>
      <c r="C112">
        <v>102</v>
      </c>
      <c r="D112">
        <v>84</v>
      </c>
      <c r="E112">
        <v>3</v>
      </c>
      <c r="F112">
        <v>3</v>
      </c>
    </row>
    <row r="113" spans="1:6" ht="17" x14ac:dyDescent="0.25">
      <c r="A113" s="6">
        <v>360</v>
      </c>
      <c r="B113" t="s">
        <v>123</v>
      </c>
      <c r="C113">
        <v>91</v>
      </c>
      <c r="D113">
        <v>75</v>
      </c>
      <c r="E113">
        <v>3</v>
      </c>
      <c r="F113">
        <v>3</v>
      </c>
    </row>
    <row r="114" spans="1:6" ht="17" x14ac:dyDescent="0.25">
      <c r="A114" s="6">
        <v>372</v>
      </c>
      <c r="B114" t="s">
        <v>100</v>
      </c>
      <c r="C114">
        <v>143</v>
      </c>
      <c r="D114">
        <v>125</v>
      </c>
      <c r="E114">
        <v>3</v>
      </c>
      <c r="F114">
        <v>3</v>
      </c>
    </row>
    <row r="115" spans="1:6" ht="17" x14ac:dyDescent="0.25">
      <c r="A115" s="6">
        <v>372</v>
      </c>
      <c r="B115" t="s">
        <v>122</v>
      </c>
      <c r="C115">
        <v>141</v>
      </c>
      <c r="D115">
        <v>127</v>
      </c>
      <c r="E115">
        <v>3</v>
      </c>
      <c r="F115">
        <v>3</v>
      </c>
    </row>
    <row r="116" spans="1:6" ht="17" x14ac:dyDescent="0.25">
      <c r="A116" s="6">
        <v>372</v>
      </c>
      <c r="B116" t="s">
        <v>102</v>
      </c>
      <c r="C116">
        <v>100</v>
      </c>
      <c r="D116">
        <v>70</v>
      </c>
      <c r="E116">
        <v>3</v>
      </c>
      <c r="F116">
        <v>3</v>
      </c>
    </row>
    <row r="117" spans="1:6" ht="17" x14ac:dyDescent="0.25">
      <c r="A117" s="6">
        <v>372</v>
      </c>
      <c r="B117" t="s">
        <v>123</v>
      </c>
      <c r="C117">
        <v>99</v>
      </c>
      <c r="D117">
        <v>102</v>
      </c>
      <c r="E117">
        <v>3</v>
      </c>
      <c r="F117">
        <v>3</v>
      </c>
    </row>
    <row r="118" spans="1:6" ht="17" x14ac:dyDescent="0.25">
      <c r="A118" s="6">
        <v>384</v>
      </c>
      <c r="B118" t="s">
        <v>100</v>
      </c>
      <c r="C118">
        <v>158</v>
      </c>
      <c r="D118">
        <v>131</v>
      </c>
      <c r="E118">
        <v>3</v>
      </c>
      <c r="F118">
        <v>3</v>
      </c>
    </row>
    <row r="119" spans="1:6" ht="17" x14ac:dyDescent="0.25">
      <c r="A119" s="6">
        <v>384</v>
      </c>
      <c r="B119" t="s">
        <v>122</v>
      </c>
      <c r="C119">
        <v>174</v>
      </c>
      <c r="D119">
        <v>120</v>
      </c>
      <c r="E119">
        <v>3</v>
      </c>
      <c r="F119">
        <v>3</v>
      </c>
    </row>
    <row r="120" spans="1:6" ht="17" x14ac:dyDescent="0.25">
      <c r="A120" s="6">
        <v>384</v>
      </c>
      <c r="B120" t="s">
        <v>102</v>
      </c>
      <c r="C120">
        <v>92</v>
      </c>
      <c r="D120">
        <v>80</v>
      </c>
      <c r="E120">
        <v>3</v>
      </c>
      <c r="F120">
        <v>3</v>
      </c>
    </row>
    <row r="121" spans="1:6" ht="17" x14ac:dyDescent="0.25">
      <c r="A121" s="6">
        <v>384</v>
      </c>
      <c r="B121" t="s">
        <v>123</v>
      </c>
      <c r="C121">
        <v>76</v>
      </c>
      <c r="D121">
        <v>91</v>
      </c>
      <c r="E121">
        <v>3</v>
      </c>
      <c r="F121">
        <v>3</v>
      </c>
    </row>
    <row r="122" spans="1:6" ht="17" x14ac:dyDescent="0.25">
      <c r="A122" s="6">
        <v>396</v>
      </c>
      <c r="B122" t="s">
        <v>100</v>
      </c>
      <c r="C122">
        <v>156</v>
      </c>
      <c r="D122">
        <v>109</v>
      </c>
      <c r="E122">
        <v>3</v>
      </c>
      <c r="F122">
        <v>3</v>
      </c>
    </row>
    <row r="123" spans="1:6" ht="17" x14ac:dyDescent="0.25">
      <c r="A123" s="6">
        <v>396</v>
      </c>
      <c r="B123" t="s">
        <v>122</v>
      </c>
      <c r="C123">
        <v>136</v>
      </c>
      <c r="D123">
        <v>136</v>
      </c>
      <c r="E123">
        <v>3</v>
      </c>
      <c r="F123">
        <v>3</v>
      </c>
    </row>
    <row r="124" spans="1:6" ht="17" x14ac:dyDescent="0.25">
      <c r="A124" s="6">
        <v>396</v>
      </c>
      <c r="B124" t="s">
        <v>102</v>
      </c>
      <c r="C124">
        <v>84</v>
      </c>
      <c r="D124">
        <v>75</v>
      </c>
      <c r="E124">
        <v>3</v>
      </c>
      <c r="F124">
        <v>3</v>
      </c>
    </row>
    <row r="125" spans="1:6" ht="17" x14ac:dyDescent="0.25">
      <c r="A125" s="6">
        <v>396</v>
      </c>
      <c r="B125" t="s">
        <v>123</v>
      </c>
      <c r="C125">
        <v>97</v>
      </c>
      <c r="D125">
        <v>97</v>
      </c>
      <c r="E125">
        <v>3</v>
      </c>
      <c r="F125">
        <v>3</v>
      </c>
    </row>
    <row r="126" spans="1:6" ht="17" x14ac:dyDescent="0.25">
      <c r="A126" s="6">
        <v>408</v>
      </c>
      <c r="B126" t="s">
        <v>100</v>
      </c>
      <c r="C126">
        <v>174</v>
      </c>
      <c r="D126">
        <v>105</v>
      </c>
      <c r="E126">
        <v>3</v>
      </c>
      <c r="F126">
        <v>3</v>
      </c>
    </row>
    <row r="127" spans="1:6" ht="17" x14ac:dyDescent="0.25">
      <c r="A127" s="6">
        <v>408</v>
      </c>
      <c r="B127" t="s">
        <v>122</v>
      </c>
      <c r="C127">
        <v>139</v>
      </c>
      <c r="D127">
        <v>131</v>
      </c>
      <c r="E127">
        <v>3</v>
      </c>
      <c r="F127">
        <v>3</v>
      </c>
    </row>
    <row r="128" spans="1:6" ht="17" x14ac:dyDescent="0.25">
      <c r="A128" s="6">
        <v>408</v>
      </c>
      <c r="B128" t="s">
        <v>102</v>
      </c>
      <c r="C128">
        <v>91</v>
      </c>
      <c r="D128">
        <v>69</v>
      </c>
      <c r="E128">
        <v>3</v>
      </c>
      <c r="F128">
        <v>3</v>
      </c>
    </row>
    <row r="129" spans="1:6" ht="17" x14ac:dyDescent="0.25">
      <c r="A129" s="6">
        <v>408</v>
      </c>
      <c r="B129" t="s">
        <v>123</v>
      </c>
      <c r="C129">
        <v>76</v>
      </c>
      <c r="D129">
        <v>66</v>
      </c>
      <c r="E129">
        <v>3</v>
      </c>
      <c r="F129">
        <v>3</v>
      </c>
    </row>
    <row r="130" spans="1:6" ht="17" x14ac:dyDescent="0.25">
      <c r="A130" s="6">
        <v>420</v>
      </c>
      <c r="B130" t="s">
        <v>100</v>
      </c>
      <c r="C130">
        <v>143</v>
      </c>
      <c r="D130">
        <v>99</v>
      </c>
      <c r="E130">
        <v>3</v>
      </c>
      <c r="F130">
        <v>3</v>
      </c>
    </row>
    <row r="131" spans="1:6" ht="17" x14ac:dyDescent="0.25">
      <c r="A131" s="6">
        <v>420</v>
      </c>
      <c r="B131" t="s">
        <v>122</v>
      </c>
      <c r="C131">
        <v>177</v>
      </c>
      <c r="D131">
        <v>100</v>
      </c>
      <c r="E131">
        <v>3</v>
      </c>
      <c r="F131">
        <v>3</v>
      </c>
    </row>
    <row r="132" spans="1:6" ht="17" x14ac:dyDescent="0.25">
      <c r="A132" s="6">
        <v>420</v>
      </c>
      <c r="B132" t="s">
        <v>102</v>
      </c>
      <c r="C132">
        <v>82</v>
      </c>
      <c r="D132">
        <v>101</v>
      </c>
      <c r="E132">
        <v>3</v>
      </c>
      <c r="F132">
        <v>3</v>
      </c>
    </row>
    <row r="133" spans="1:6" ht="17" x14ac:dyDescent="0.25">
      <c r="A133" s="6">
        <v>420</v>
      </c>
      <c r="B133" t="s">
        <v>123</v>
      </c>
      <c r="C133">
        <v>88</v>
      </c>
      <c r="D133">
        <v>65</v>
      </c>
      <c r="E133">
        <v>3</v>
      </c>
      <c r="F133">
        <v>3</v>
      </c>
    </row>
    <row r="134" spans="1:6" ht="17" x14ac:dyDescent="0.25">
      <c r="A134" s="6">
        <v>432</v>
      </c>
      <c r="B134" t="s">
        <v>100</v>
      </c>
      <c r="C134">
        <v>179</v>
      </c>
      <c r="D134">
        <v>111</v>
      </c>
      <c r="E134">
        <v>3</v>
      </c>
      <c r="F134">
        <v>3</v>
      </c>
    </row>
    <row r="135" spans="1:6" ht="17" x14ac:dyDescent="0.25">
      <c r="A135" s="6">
        <v>432</v>
      </c>
      <c r="B135" t="s">
        <v>122</v>
      </c>
      <c r="C135">
        <v>200</v>
      </c>
      <c r="D135">
        <v>114</v>
      </c>
      <c r="E135">
        <v>3</v>
      </c>
      <c r="F135">
        <v>3</v>
      </c>
    </row>
    <row r="136" spans="1:6" ht="17" x14ac:dyDescent="0.25">
      <c r="A136" s="6">
        <v>432</v>
      </c>
      <c r="B136" t="s">
        <v>102</v>
      </c>
      <c r="C136">
        <v>56</v>
      </c>
      <c r="D136">
        <v>40</v>
      </c>
      <c r="E136">
        <v>3</v>
      </c>
      <c r="F136">
        <v>3</v>
      </c>
    </row>
    <row r="137" spans="1:6" ht="17" x14ac:dyDescent="0.25">
      <c r="A137" s="6">
        <v>432</v>
      </c>
      <c r="B137" t="s">
        <v>123</v>
      </c>
      <c r="C137">
        <v>110</v>
      </c>
      <c r="D137">
        <v>101</v>
      </c>
      <c r="E137">
        <v>3</v>
      </c>
      <c r="F137">
        <v>3</v>
      </c>
    </row>
    <row r="138" spans="1:6" ht="17" x14ac:dyDescent="0.25">
      <c r="A138" s="6">
        <v>456</v>
      </c>
      <c r="B138" t="s">
        <v>100</v>
      </c>
      <c r="C138">
        <v>231</v>
      </c>
      <c r="D138">
        <v>125</v>
      </c>
      <c r="E138">
        <v>3</v>
      </c>
      <c r="F138">
        <v>3</v>
      </c>
    </row>
    <row r="139" spans="1:6" ht="17" x14ac:dyDescent="0.25">
      <c r="A139" s="6">
        <v>456</v>
      </c>
      <c r="B139" t="s">
        <v>122</v>
      </c>
      <c r="C139">
        <v>185</v>
      </c>
      <c r="D139">
        <v>107</v>
      </c>
      <c r="E139">
        <v>3</v>
      </c>
      <c r="F139">
        <v>3</v>
      </c>
    </row>
    <row r="140" spans="1:6" ht="17" x14ac:dyDescent="0.25">
      <c r="A140" s="6">
        <v>456</v>
      </c>
      <c r="B140" t="s">
        <v>102</v>
      </c>
      <c r="C140">
        <v>84</v>
      </c>
      <c r="D140">
        <v>64</v>
      </c>
      <c r="E140">
        <v>3</v>
      </c>
      <c r="F140">
        <v>3</v>
      </c>
    </row>
    <row r="141" spans="1:6" ht="17" x14ac:dyDescent="0.25">
      <c r="A141" s="6">
        <v>456</v>
      </c>
      <c r="B141" t="s">
        <v>123</v>
      </c>
      <c r="C141">
        <v>77</v>
      </c>
      <c r="D141">
        <v>105</v>
      </c>
      <c r="E141">
        <v>3</v>
      </c>
      <c r="F141">
        <v>3</v>
      </c>
    </row>
    <row r="142" spans="1:6" ht="17" x14ac:dyDescent="0.25">
      <c r="A142" s="6">
        <v>480</v>
      </c>
      <c r="B142" t="s">
        <v>100</v>
      </c>
      <c r="C142">
        <v>231</v>
      </c>
      <c r="D142">
        <v>125</v>
      </c>
      <c r="E142">
        <v>3</v>
      </c>
      <c r="F142">
        <v>3</v>
      </c>
    </row>
    <row r="143" spans="1:6" ht="17" x14ac:dyDescent="0.25">
      <c r="A143" s="6">
        <v>480</v>
      </c>
      <c r="B143" t="s">
        <v>122</v>
      </c>
      <c r="C143">
        <v>185</v>
      </c>
      <c r="D143">
        <v>107</v>
      </c>
      <c r="E143">
        <v>3</v>
      </c>
      <c r="F143">
        <v>3</v>
      </c>
    </row>
    <row r="144" spans="1:6" ht="17" x14ac:dyDescent="0.25">
      <c r="A144" s="6">
        <v>480</v>
      </c>
      <c r="B144" t="s">
        <v>102</v>
      </c>
      <c r="C144">
        <v>84</v>
      </c>
      <c r="D144">
        <v>64</v>
      </c>
      <c r="E144">
        <v>3</v>
      </c>
      <c r="F144">
        <v>3</v>
      </c>
    </row>
    <row r="145" spans="1:6" ht="17" x14ac:dyDescent="0.25">
      <c r="A145" s="6">
        <v>480</v>
      </c>
      <c r="B145" t="s">
        <v>123</v>
      </c>
      <c r="C145">
        <v>77</v>
      </c>
      <c r="D145">
        <v>105</v>
      </c>
      <c r="E145">
        <v>3</v>
      </c>
      <c r="F145">
        <v>3</v>
      </c>
    </row>
    <row r="146" spans="1:6" ht="17" x14ac:dyDescent="0.25">
      <c r="A146" s="6">
        <v>504</v>
      </c>
      <c r="B146" t="s">
        <v>100</v>
      </c>
      <c r="C146">
        <v>200</v>
      </c>
      <c r="D146">
        <v>148</v>
      </c>
      <c r="E146">
        <v>3</v>
      </c>
      <c r="F146">
        <v>3</v>
      </c>
    </row>
    <row r="147" spans="1:6" ht="17" x14ac:dyDescent="0.25">
      <c r="A147" s="6">
        <v>504</v>
      </c>
      <c r="B147" t="s">
        <v>122</v>
      </c>
      <c r="C147">
        <v>206</v>
      </c>
      <c r="D147">
        <v>145</v>
      </c>
      <c r="E147">
        <v>3</v>
      </c>
      <c r="F147">
        <v>3</v>
      </c>
    </row>
    <row r="148" spans="1:6" ht="17" x14ac:dyDescent="0.25">
      <c r="A148" s="6">
        <v>504</v>
      </c>
      <c r="B148" t="s">
        <v>102</v>
      </c>
      <c r="C148">
        <v>122</v>
      </c>
      <c r="D148">
        <v>87</v>
      </c>
      <c r="E148">
        <v>3</v>
      </c>
      <c r="F148">
        <v>3</v>
      </c>
    </row>
    <row r="149" spans="1:6" ht="17" x14ac:dyDescent="0.25">
      <c r="A149" s="6">
        <v>504</v>
      </c>
      <c r="B149" t="s">
        <v>123</v>
      </c>
      <c r="C149">
        <v>80</v>
      </c>
      <c r="D149">
        <v>91</v>
      </c>
      <c r="E149">
        <v>3</v>
      </c>
      <c r="F149">
        <v>3</v>
      </c>
    </row>
    <row r="150" spans="1:6" ht="17" x14ac:dyDescent="0.25">
      <c r="A150" s="6">
        <v>528</v>
      </c>
      <c r="B150" t="s">
        <v>100</v>
      </c>
      <c r="C150">
        <v>211</v>
      </c>
      <c r="D150">
        <v>87</v>
      </c>
      <c r="E150">
        <v>3</v>
      </c>
      <c r="F150">
        <v>3</v>
      </c>
    </row>
    <row r="151" spans="1:6" ht="17" x14ac:dyDescent="0.25">
      <c r="A151" s="6">
        <v>528</v>
      </c>
      <c r="B151" t="s">
        <v>122</v>
      </c>
      <c r="C151">
        <v>186</v>
      </c>
      <c r="D151">
        <v>98</v>
      </c>
      <c r="E151">
        <v>3</v>
      </c>
      <c r="F151">
        <v>3</v>
      </c>
    </row>
    <row r="152" spans="1:6" ht="17" x14ac:dyDescent="0.25">
      <c r="A152" s="6">
        <v>528</v>
      </c>
      <c r="B152" t="s">
        <v>102</v>
      </c>
      <c r="C152">
        <v>91</v>
      </c>
      <c r="D152">
        <v>67</v>
      </c>
      <c r="E152">
        <v>3</v>
      </c>
      <c r="F152">
        <v>3</v>
      </c>
    </row>
    <row r="153" spans="1:6" ht="17" x14ac:dyDescent="0.25">
      <c r="A153" s="6">
        <v>528</v>
      </c>
      <c r="B153" t="s">
        <v>123</v>
      </c>
      <c r="C153">
        <v>114</v>
      </c>
      <c r="D153">
        <v>79</v>
      </c>
      <c r="E153">
        <v>3</v>
      </c>
      <c r="F153">
        <v>3</v>
      </c>
    </row>
    <row r="154" spans="1:6" ht="17" x14ac:dyDescent="0.25">
      <c r="A154" s="6">
        <v>552</v>
      </c>
      <c r="B154" t="s">
        <v>100</v>
      </c>
      <c r="C154">
        <v>152</v>
      </c>
      <c r="D154">
        <v>98</v>
      </c>
      <c r="E154">
        <v>3</v>
      </c>
      <c r="F154">
        <v>3</v>
      </c>
    </row>
    <row r="155" spans="1:6" ht="17" x14ac:dyDescent="0.25">
      <c r="A155" s="6">
        <v>552</v>
      </c>
      <c r="B155" t="s">
        <v>122</v>
      </c>
      <c r="C155">
        <v>142</v>
      </c>
      <c r="D155">
        <v>108</v>
      </c>
      <c r="E155">
        <v>3</v>
      </c>
      <c r="F155">
        <v>3</v>
      </c>
    </row>
    <row r="156" spans="1:6" ht="17" x14ac:dyDescent="0.25">
      <c r="A156" s="6">
        <v>552</v>
      </c>
      <c r="B156" t="s">
        <v>102</v>
      </c>
      <c r="C156">
        <v>88</v>
      </c>
      <c r="D156">
        <v>79</v>
      </c>
      <c r="E156">
        <v>3</v>
      </c>
      <c r="F156">
        <v>3</v>
      </c>
    </row>
    <row r="157" spans="1:6" ht="17" x14ac:dyDescent="0.25">
      <c r="A157" s="6">
        <v>552</v>
      </c>
      <c r="B157" t="s">
        <v>123</v>
      </c>
      <c r="C157">
        <v>88</v>
      </c>
      <c r="D157">
        <v>85</v>
      </c>
      <c r="E157">
        <v>3</v>
      </c>
      <c r="F157">
        <v>3</v>
      </c>
    </row>
    <row r="158" spans="1:6" ht="17" x14ac:dyDescent="0.25">
      <c r="A158" s="6">
        <v>600</v>
      </c>
      <c r="B158" t="s">
        <v>100</v>
      </c>
      <c r="C158">
        <v>162</v>
      </c>
      <c r="D158">
        <v>109</v>
      </c>
      <c r="E158">
        <v>3</v>
      </c>
      <c r="F158">
        <v>3</v>
      </c>
    </row>
    <row r="159" spans="1:6" ht="17" x14ac:dyDescent="0.25">
      <c r="A159" s="6">
        <v>600</v>
      </c>
      <c r="B159" t="s">
        <v>122</v>
      </c>
      <c r="C159">
        <v>173</v>
      </c>
      <c r="D159">
        <v>99</v>
      </c>
      <c r="E159">
        <v>3</v>
      </c>
      <c r="F159">
        <v>3</v>
      </c>
    </row>
    <row r="160" spans="1:6" ht="17" x14ac:dyDescent="0.25">
      <c r="A160" s="6">
        <v>600</v>
      </c>
      <c r="B160" t="s">
        <v>102</v>
      </c>
      <c r="C160">
        <v>103</v>
      </c>
      <c r="D160">
        <v>77</v>
      </c>
      <c r="E160">
        <v>3</v>
      </c>
      <c r="F160">
        <v>3</v>
      </c>
    </row>
    <row r="161" spans="1:6" ht="17" x14ac:dyDescent="0.25">
      <c r="A161" s="6">
        <v>600</v>
      </c>
      <c r="B161" t="s">
        <v>123</v>
      </c>
      <c r="C161">
        <v>117</v>
      </c>
      <c r="D161">
        <v>84</v>
      </c>
      <c r="E161">
        <v>3</v>
      </c>
      <c r="F161">
        <v>3</v>
      </c>
    </row>
    <row r="162" spans="1:6" ht="17" x14ac:dyDescent="0.25">
      <c r="A162" s="6">
        <v>624</v>
      </c>
      <c r="B162" t="s">
        <v>100</v>
      </c>
      <c r="C162">
        <v>195</v>
      </c>
      <c r="D162">
        <v>126</v>
      </c>
      <c r="E162">
        <v>3</v>
      </c>
      <c r="F162">
        <v>3</v>
      </c>
    </row>
    <row r="163" spans="1:6" ht="17" x14ac:dyDescent="0.25">
      <c r="A163" s="6">
        <v>624</v>
      </c>
      <c r="B163" t="s">
        <v>122</v>
      </c>
      <c r="C163">
        <v>183</v>
      </c>
      <c r="D163">
        <v>102</v>
      </c>
      <c r="E163">
        <v>3</v>
      </c>
      <c r="F163">
        <v>3</v>
      </c>
    </row>
    <row r="164" spans="1:6" ht="17" x14ac:dyDescent="0.25">
      <c r="A164" s="6">
        <v>624</v>
      </c>
      <c r="B164" t="s">
        <v>102</v>
      </c>
      <c r="C164">
        <v>101</v>
      </c>
      <c r="D164">
        <v>67</v>
      </c>
      <c r="E164">
        <v>3</v>
      </c>
      <c r="F164">
        <v>3</v>
      </c>
    </row>
    <row r="165" spans="1:6" ht="17" x14ac:dyDescent="0.25">
      <c r="A165" s="6">
        <v>624</v>
      </c>
      <c r="B165" t="s">
        <v>123</v>
      </c>
      <c r="C165">
        <v>85</v>
      </c>
      <c r="D165">
        <v>112</v>
      </c>
      <c r="E165">
        <v>3</v>
      </c>
      <c r="F165">
        <v>3</v>
      </c>
    </row>
    <row r="166" spans="1:6" ht="17" x14ac:dyDescent="0.25">
      <c r="A166" s="6">
        <v>648</v>
      </c>
      <c r="B166" t="s">
        <v>100</v>
      </c>
      <c r="C166">
        <v>186</v>
      </c>
      <c r="D166">
        <v>126</v>
      </c>
      <c r="E166">
        <v>3</v>
      </c>
      <c r="F166">
        <v>3</v>
      </c>
    </row>
    <row r="167" spans="1:6" ht="17" x14ac:dyDescent="0.25">
      <c r="A167" s="6">
        <v>648</v>
      </c>
      <c r="B167" t="s">
        <v>122</v>
      </c>
      <c r="C167">
        <v>195</v>
      </c>
      <c r="D167">
        <v>124</v>
      </c>
      <c r="E167">
        <v>3</v>
      </c>
      <c r="F167">
        <v>3</v>
      </c>
    </row>
    <row r="168" spans="1:6" ht="17" x14ac:dyDescent="0.25">
      <c r="A168" s="6">
        <v>648</v>
      </c>
      <c r="B168" t="s">
        <v>102</v>
      </c>
      <c r="C168">
        <v>82</v>
      </c>
      <c r="D168">
        <v>94</v>
      </c>
      <c r="E168">
        <v>3</v>
      </c>
      <c r="F168">
        <v>3</v>
      </c>
    </row>
    <row r="169" spans="1:6" ht="17" x14ac:dyDescent="0.25">
      <c r="A169" s="6">
        <v>648</v>
      </c>
      <c r="B169" t="s">
        <v>123</v>
      </c>
      <c r="C169">
        <v>90</v>
      </c>
      <c r="D169">
        <v>100</v>
      </c>
      <c r="E169">
        <v>3</v>
      </c>
      <c r="F169">
        <v>3</v>
      </c>
    </row>
    <row r="170" spans="1:6" ht="17" x14ac:dyDescent="0.25">
      <c r="A170" s="6">
        <v>672</v>
      </c>
      <c r="B170" t="s">
        <v>100</v>
      </c>
      <c r="C170">
        <v>219</v>
      </c>
      <c r="D170">
        <v>143</v>
      </c>
      <c r="E170">
        <v>3</v>
      </c>
      <c r="F170">
        <v>3</v>
      </c>
    </row>
    <row r="171" spans="1:6" ht="17" x14ac:dyDescent="0.25">
      <c r="A171" s="6">
        <v>672</v>
      </c>
      <c r="B171" t="s">
        <v>122</v>
      </c>
      <c r="C171">
        <v>159</v>
      </c>
      <c r="D171">
        <v>89</v>
      </c>
      <c r="E171">
        <v>3</v>
      </c>
      <c r="F171">
        <v>3</v>
      </c>
    </row>
    <row r="172" spans="1:6" ht="17" x14ac:dyDescent="0.25">
      <c r="A172" s="6">
        <v>672</v>
      </c>
      <c r="B172" t="s">
        <v>102</v>
      </c>
      <c r="C172">
        <v>90</v>
      </c>
      <c r="D172">
        <v>83</v>
      </c>
      <c r="E172">
        <v>3</v>
      </c>
      <c r="F172">
        <v>3</v>
      </c>
    </row>
    <row r="173" spans="1:6" ht="17" x14ac:dyDescent="0.25">
      <c r="A173" s="6">
        <v>672</v>
      </c>
      <c r="B173" t="s">
        <v>123</v>
      </c>
      <c r="C173">
        <v>111</v>
      </c>
      <c r="D173">
        <v>72</v>
      </c>
      <c r="E173">
        <v>3</v>
      </c>
      <c r="F173">
        <v>3</v>
      </c>
    </row>
    <row r="174" spans="1:6" ht="17" x14ac:dyDescent="0.25">
      <c r="A174" s="6">
        <v>696</v>
      </c>
      <c r="B174" t="s">
        <v>100</v>
      </c>
      <c r="C174">
        <v>152</v>
      </c>
      <c r="D174">
        <v>103</v>
      </c>
      <c r="E174">
        <v>3</v>
      </c>
      <c r="F174">
        <v>3</v>
      </c>
    </row>
    <row r="175" spans="1:6" ht="17" x14ac:dyDescent="0.25">
      <c r="A175" s="6">
        <v>696</v>
      </c>
      <c r="B175" t="s">
        <v>122</v>
      </c>
      <c r="C175">
        <v>160</v>
      </c>
      <c r="D175">
        <v>132</v>
      </c>
      <c r="E175">
        <v>3</v>
      </c>
      <c r="F175">
        <v>3</v>
      </c>
    </row>
    <row r="176" spans="1:6" ht="17" x14ac:dyDescent="0.25">
      <c r="A176" s="6">
        <v>696</v>
      </c>
      <c r="B176" t="s">
        <v>102</v>
      </c>
      <c r="C176">
        <v>102</v>
      </c>
      <c r="D176">
        <v>73</v>
      </c>
      <c r="E176">
        <v>3</v>
      </c>
      <c r="F176">
        <v>3</v>
      </c>
    </row>
    <row r="177" spans="1:6" ht="17" x14ac:dyDescent="0.25">
      <c r="A177" s="6">
        <v>696</v>
      </c>
      <c r="B177" t="s">
        <v>123</v>
      </c>
      <c r="C177">
        <v>105</v>
      </c>
      <c r="D177">
        <v>96</v>
      </c>
      <c r="E177">
        <v>3</v>
      </c>
      <c r="F177">
        <v>3</v>
      </c>
    </row>
    <row r="178" spans="1:6" ht="17" x14ac:dyDescent="0.25">
      <c r="A178" s="6">
        <v>744</v>
      </c>
      <c r="B178" t="s">
        <v>100</v>
      </c>
      <c r="C178">
        <v>193</v>
      </c>
      <c r="D178">
        <v>127</v>
      </c>
      <c r="E178">
        <v>3</v>
      </c>
      <c r="F178">
        <v>3</v>
      </c>
    </row>
    <row r="179" spans="1:6" ht="17" x14ac:dyDescent="0.25">
      <c r="A179" s="6">
        <v>744</v>
      </c>
      <c r="B179" t="s">
        <v>122</v>
      </c>
      <c r="C179">
        <v>161</v>
      </c>
      <c r="D179">
        <v>125</v>
      </c>
      <c r="E179">
        <v>3</v>
      </c>
      <c r="F179">
        <v>3</v>
      </c>
    </row>
    <row r="180" spans="1:6" ht="17" x14ac:dyDescent="0.25">
      <c r="A180" s="6">
        <v>744</v>
      </c>
      <c r="B180" t="s">
        <v>102</v>
      </c>
      <c r="C180">
        <v>80</v>
      </c>
      <c r="D180">
        <v>66</v>
      </c>
      <c r="E180">
        <v>3</v>
      </c>
      <c r="F180">
        <v>3</v>
      </c>
    </row>
    <row r="181" spans="1:6" ht="17" x14ac:dyDescent="0.25">
      <c r="A181" s="6">
        <v>744</v>
      </c>
      <c r="B181" t="s">
        <v>123</v>
      </c>
      <c r="C181">
        <v>105</v>
      </c>
      <c r="D181">
        <v>83</v>
      </c>
      <c r="E181">
        <v>3</v>
      </c>
      <c r="F181">
        <v>3</v>
      </c>
    </row>
    <row r="182" spans="1:6" ht="17" x14ac:dyDescent="0.25">
      <c r="A182" s="6">
        <v>792</v>
      </c>
      <c r="B182" t="s">
        <v>100</v>
      </c>
      <c r="C182">
        <v>150</v>
      </c>
      <c r="D182">
        <v>128</v>
      </c>
      <c r="E182">
        <v>3</v>
      </c>
      <c r="F182">
        <v>3</v>
      </c>
    </row>
    <row r="183" spans="1:6" ht="17" x14ac:dyDescent="0.25">
      <c r="A183" s="6">
        <v>782</v>
      </c>
      <c r="B183" t="s">
        <v>122</v>
      </c>
      <c r="C183">
        <v>165</v>
      </c>
      <c r="D183">
        <v>125</v>
      </c>
      <c r="E183">
        <v>3</v>
      </c>
      <c r="F183">
        <v>3</v>
      </c>
    </row>
    <row r="184" spans="1:6" ht="17" x14ac:dyDescent="0.25">
      <c r="A184" s="6">
        <v>792</v>
      </c>
      <c r="B184" t="s">
        <v>102</v>
      </c>
      <c r="C184">
        <v>94</v>
      </c>
      <c r="D184">
        <v>55</v>
      </c>
      <c r="E184">
        <v>3</v>
      </c>
      <c r="F184">
        <v>3</v>
      </c>
    </row>
    <row r="185" spans="1:6" ht="17" x14ac:dyDescent="0.25">
      <c r="A185" s="6">
        <v>792</v>
      </c>
      <c r="B185" t="s">
        <v>123</v>
      </c>
      <c r="C185">
        <v>105</v>
      </c>
      <c r="D185">
        <v>93</v>
      </c>
      <c r="E185">
        <v>3</v>
      </c>
      <c r="F185">
        <v>3</v>
      </c>
    </row>
    <row r="186" spans="1:6" ht="17" x14ac:dyDescent="0.25">
      <c r="A186" s="6">
        <v>840</v>
      </c>
      <c r="B186" t="s">
        <v>100</v>
      </c>
      <c r="C186">
        <v>182</v>
      </c>
      <c r="D186">
        <v>142</v>
      </c>
      <c r="E186">
        <v>3</v>
      </c>
      <c r="F186">
        <v>3</v>
      </c>
    </row>
    <row r="187" spans="1:6" ht="17" x14ac:dyDescent="0.25">
      <c r="A187" s="6">
        <v>840</v>
      </c>
      <c r="B187" t="s">
        <v>122</v>
      </c>
      <c r="C187">
        <v>157</v>
      </c>
      <c r="D187">
        <v>130</v>
      </c>
      <c r="E187">
        <v>3</v>
      </c>
      <c r="F187">
        <v>3</v>
      </c>
    </row>
    <row r="188" spans="1:6" ht="17" x14ac:dyDescent="0.25">
      <c r="A188" s="6">
        <v>840</v>
      </c>
      <c r="B188" t="s">
        <v>102</v>
      </c>
      <c r="C188">
        <v>73</v>
      </c>
      <c r="D188">
        <v>48</v>
      </c>
      <c r="E188">
        <v>3</v>
      </c>
      <c r="F188">
        <v>3</v>
      </c>
    </row>
    <row r="189" spans="1:6" ht="17" x14ac:dyDescent="0.25">
      <c r="A189" s="6">
        <v>840</v>
      </c>
      <c r="B189" t="s">
        <v>123</v>
      </c>
      <c r="C189">
        <v>106</v>
      </c>
      <c r="D189">
        <v>90</v>
      </c>
      <c r="E189">
        <v>3</v>
      </c>
      <c r="F189">
        <v>3</v>
      </c>
    </row>
    <row r="190" spans="1:6" ht="17" x14ac:dyDescent="0.25">
      <c r="A190" s="6">
        <v>888</v>
      </c>
      <c r="B190" t="s">
        <v>100</v>
      </c>
      <c r="C190">
        <v>191</v>
      </c>
      <c r="D190">
        <v>148</v>
      </c>
      <c r="E190">
        <v>3</v>
      </c>
      <c r="F190">
        <v>3</v>
      </c>
    </row>
    <row r="191" spans="1:6" ht="17" x14ac:dyDescent="0.25">
      <c r="A191" s="6">
        <v>888</v>
      </c>
      <c r="B191" t="s">
        <v>122</v>
      </c>
      <c r="C191">
        <v>134</v>
      </c>
      <c r="D191">
        <v>160</v>
      </c>
      <c r="E191">
        <v>3</v>
      </c>
      <c r="F191">
        <v>3</v>
      </c>
    </row>
    <row r="192" spans="1:6" ht="17" x14ac:dyDescent="0.25">
      <c r="A192" s="6">
        <v>888</v>
      </c>
      <c r="B192" t="s">
        <v>102</v>
      </c>
      <c r="C192">
        <v>68</v>
      </c>
      <c r="D192">
        <v>74</v>
      </c>
      <c r="E192">
        <v>3</v>
      </c>
      <c r="F192">
        <v>3</v>
      </c>
    </row>
    <row r="193" spans="1:6" ht="17" x14ac:dyDescent="0.25">
      <c r="A193" s="6">
        <v>888</v>
      </c>
      <c r="B193" t="s">
        <v>123</v>
      </c>
      <c r="C193">
        <v>82</v>
      </c>
      <c r="D193">
        <v>87</v>
      </c>
      <c r="E193">
        <v>3</v>
      </c>
      <c r="F193">
        <v>3</v>
      </c>
    </row>
    <row r="194" spans="1:6" ht="17" x14ac:dyDescent="0.25">
      <c r="A194" s="6">
        <v>936</v>
      </c>
      <c r="B194" t="s">
        <v>100</v>
      </c>
      <c r="C194">
        <v>161</v>
      </c>
      <c r="D194">
        <v>148</v>
      </c>
      <c r="E194">
        <v>3</v>
      </c>
      <c r="F194">
        <v>3</v>
      </c>
    </row>
    <row r="195" spans="1:6" ht="17" x14ac:dyDescent="0.25">
      <c r="A195" s="6">
        <v>936</v>
      </c>
      <c r="B195" t="s">
        <v>122</v>
      </c>
      <c r="C195">
        <v>192</v>
      </c>
      <c r="D195">
        <v>136</v>
      </c>
      <c r="E195">
        <v>3</v>
      </c>
      <c r="F195">
        <v>3</v>
      </c>
    </row>
    <row r="196" spans="1:6" ht="17" x14ac:dyDescent="0.25">
      <c r="A196" s="6">
        <v>936</v>
      </c>
      <c r="B196" t="s">
        <v>102</v>
      </c>
      <c r="C196">
        <v>57</v>
      </c>
      <c r="D196">
        <v>73</v>
      </c>
      <c r="E196">
        <v>3</v>
      </c>
      <c r="F196">
        <v>3</v>
      </c>
    </row>
    <row r="197" spans="1:6" ht="17" x14ac:dyDescent="0.25">
      <c r="A197" s="6">
        <v>936</v>
      </c>
      <c r="B197" t="s">
        <v>123</v>
      </c>
      <c r="C197">
        <v>93</v>
      </c>
      <c r="D197">
        <v>110</v>
      </c>
      <c r="E197">
        <v>3</v>
      </c>
      <c r="F197">
        <v>3</v>
      </c>
    </row>
    <row r="198" spans="1:6" ht="17" x14ac:dyDescent="0.25">
      <c r="A198" s="6">
        <v>984</v>
      </c>
      <c r="B198" t="s">
        <v>100</v>
      </c>
      <c r="C198">
        <v>161</v>
      </c>
      <c r="D198">
        <v>126</v>
      </c>
      <c r="E198">
        <v>3</v>
      </c>
      <c r="F198">
        <v>3</v>
      </c>
    </row>
    <row r="199" spans="1:6" ht="17" x14ac:dyDescent="0.25">
      <c r="A199" s="6">
        <v>984</v>
      </c>
      <c r="B199" t="s">
        <v>122</v>
      </c>
      <c r="C199">
        <v>134</v>
      </c>
      <c r="D199">
        <v>112</v>
      </c>
      <c r="E199">
        <v>3</v>
      </c>
      <c r="F199">
        <v>3</v>
      </c>
    </row>
    <row r="200" spans="1:6" ht="17" x14ac:dyDescent="0.25">
      <c r="A200" s="6">
        <v>984</v>
      </c>
      <c r="B200" t="s">
        <v>102</v>
      </c>
      <c r="C200">
        <v>86</v>
      </c>
      <c r="D200">
        <v>101</v>
      </c>
      <c r="E200">
        <v>3</v>
      </c>
      <c r="F200">
        <v>3</v>
      </c>
    </row>
    <row r="201" spans="1:6" ht="17" x14ac:dyDescent="0.25">
      <c r="A201" s="6">
        <v>984</v>
      </c>
      <c r="B201" t="s">
        <v>123</v>
      </c>
      <c r="C201">
        <v>121</v>
      </c>
      <c r="D201">
        <v>107</v>
      </c>
      <c r="E201">
        <v>3</v>
      </c>
      <c r="F201">
        <v>3</v>
      </c>
    </row>
    <row r="202" spans="1:6" ht="17" x14ac:dyDescent="0.25">
      <c r="A202" s="6">
        <v>1032</v>
      </c>
      <c r="B202" t="s">
        <v>100</v>
      </c>
      <c r="C202">
        <v>182</v>
      </c>
      <c r="D202">
        <v>128</v>
      </c>
      <c r="E202">
        <v>3</v>
      </c>
      <c r="F202">
        <v>3</v>
      </c>
    </row>
    <row r="203" spans="1:6" ht="17" x14ac:dyDescent="0.25">
      <c r="A203" s="6">
        <v>1032</v>
      </c>
      <c r="B203" t="s">
        <v>122</v>
      </c>
      <c r="C203">
        <v>138</v>
      </c>
      <c r="D203">
        <v>158</v>
      </c>
      <c r="E203">
        <v>3</v>
      </c>
      <c r="F203">
        <v>3</v>
      </c>
    </row>
    <row r="204" spans="1:6" ht="17" x14ac:dyDescent="0.25">
      <c r="A204" s="6">
        <v>1032</v>
      </c>
      <c r="B204" t="s">
        <v>102</v>
      </c>
      <c r="C204">
        <v>71</v>
      </c>
      <c r="D204">
        <v>96</v>
      </c>
      <c r="E204">
        <v>3</v>
      </c>
      <c r="F204">
        <v>3</v>
      </c>
    </row>
    <row r="205" spans="1:6" ht="17" x14ac:dyDescent="0.25">
      <c r="A205" s="6">
        <v>1032</v>
      </c>
      <c r="B205" t="s">
        <v>123</v>
      </c>
      <c r="C205">
        <v>171</v>
      </c>
      <c r="D205">
        <v>114</v>
      </c>
      <c r="E205">
        <v>3</v>
      </c>
      <c r="F205">
        <v>3</v>
      </c>
    </row>
    <row r="206" spans="1:6" ht="17" x14ac:dyDescent="0.25">
      <c r="A206" s="6">
        <v>1080</v>
      </c>
      <c r="B206" t="s">
        <v>100</v>
      </c>
      <c r="C206">
        <v>183</v>
      </c>
      <c r="D206">
        <v>156</v>
      </c>
      <c r="E206">
        <v>3</v>
      </c>
      <c r="F206">
        <v>3</v>
      </c>
    </row>
    <row r="207" spans="1:6" ht="17" x14ac:dyDescent="0.25">
      <c r="A207" s="6">
        <v>1080</v>
      </c>
      <c r="B207" t="s">
        <v>122</v>
      </c>
      <c r="C207">
        <v>136</v>
      </c>
      <c r="D207">
        <v>125</v>
      </c>
      <c r="E207">
        <v>3</v>
      </c>
      <c r="F207">
        <v>3</v>
      </c>
    </row>
    <row r="208" spans="1:6" ht="17" x14ac:dyDescent="0.25">
      <c r="A208" s="6">
        <v>1080</v>
      </c>
      <c r="B208" t="s">
        <v>102</v>
      </c>
      <c r="C208">
        <v>93</v>
      </c>
      <c r="D208">
        <v>71</v>
      </c>
      <c r="E208">
        <v>3</v>
      </c>
      <c r="F208">
        <v>3</v>
      </c>
    </row>
    <row r="209" spans="1:6" ht="17" x14ac:dyDescent="0.25">
      <c r="A209" s="6">
        <v>1080</v>
      </c>
      <c r="B209" t="s">
        <v>123</v>
      </c>
      <c r="C209">
        <v>104</v>
      </c>
      <c r="D209">
        <v>91</v>
      </c>
      <c r="E209">
        <v>3</v>
      </c>
      <c r="F209">
        <v>3</v>
      </c>
    </row>
    <row r="210" spans="1:6" ht="17" x14ac:dyDescent="0.25">
      <c r="A210" s="6">
        <v>1128</v>
      </c>
      <c r="B210" t="s">
        <v>100</v>
      </c>
      <c r="C210">
        <v>180</v>
      </c>
      <c r="D210">
        <v>130</v>
      </c>
      <c r="E210">
        <v>3</v>
      </c>
      <c r="F210">
        <v>3</v>
      </c>
    </row>
    <row r="211" spans="1:6" ht="17" x14ac:dyDescent="0.25">
      <c r="A211" s="6">
        <v>1128</v>
      </c>
      <c r="B211" t="s">
        <v>122</v>
      </c>
      <c r="C211">
        <v>165</v>
      </c>
      <c r="D211">
        <v>156</v>
      </c>
      <c r="E211">
        <v>3</v>
      </c>
      <c r="F211">
        <v>3</v>
      </c>
    </row>
    <row r="212" spans="1:6" ht="17" x14ac:dyDescent="0.25">
      <c r="A212" s="6">
        <v>1128</v>
      </c>
      <c r="B212" t="s">
        <v>102</v>
      </c>
      <c r="C212">
        <v>94</v>
      </c>
      <c r="D212">
        <v>77</v>
      </c>
      <c r="E212">
        <v>3</v>
      </c>
      <c r="F212">
        <v>3</v>
      </c>
    </row>
    <row r="213" spans="1:6" ht="17" x14ac:dyDescent="0.25">
      <c r="A213" s="6">
        <v>1128</v>
      </c>
      <c r="B213" t="s">
        <v>123</v>
      </c>
      <c r="C213">
        <v>100</v>
      </c>
      <c r="D213">
        <v>94</v>
      </c>
      <c r="E213">
        <v>3</v>
      </c>
      <c r="F213">
        <v>3</v>
      </c>
    </row>
    <row r="214" spans="1:6" ht="17" x14ac:dyDescent="0.25">
      <c r="A214" s="6">
        <v>1176</v>
      </c>
      <c r="B214" t="s">
        <v>100</v>
      </c>
      <c r="C214">
        <v>173</v>
      </c>
      <c r="D214">
        <v>169</v>
      </c>
      <c r="E214">
        <v>3</v>
      </c>
      <c r="F214">
        <v>3</v>
      </c>
    </row>
    <row r="215" spans="1:6" ht="17" x14ac:dyDescent="0.25">
      <c r="A215" s="6">
        <v>1176</v>
      </c>
      <c r="B215" t="s">
        <v>122</v>
      </c>
      <c r="C215">
        <v>175</v>
      </c>
      <c r="D215">
        <v>138</v>
      </c>
      <c r="E215">
        <v>3</v>
      </c>
      <c r="F215">
        <v>3</v>
      </c>
    </row>
    <row r="216" spans="1:6" ht="17" x14ac:dyDescent="0.25">
      <c r="A216" s="6">
        <v>1176</v>
      </c>
      <c r="B216" t="s">
        <v>102</v>
      </c>
      <c r="C216">
        <v>92</v>
      </c>
      <c r="D216">
        <v>102</v>
      </c>
      <c r="E216">
        <v>3</v>
      </c>
      <c r="F216">
        <v>3</v>
      </c>
    </row>
    <row r="217" spans="1:6" ht="17" x14ac:dyDescent="0.25">
      <c r="A217" s="6">
        <v>1176</v>
      </c>
      <c r="B217" t="s">
        <v>123</v>
      </c>
      <c r="C217">
        <v>104</v>
      </c>
      <c r="D217">
        <v>79</v>
      </c>
      <c r="E217">
        <v>3</v>
      </c>
      <c r="F217">
        <v>3</v>
      </c>
    </row>
    <row r="218" spans="1:6" ht="17" x14ac:dyDescent="0.25">
      <c r="A218" s="6">
        <v>1224</v>
      </c>
      <c r="B218" t="s">
        <v>100</v>
      </c>
      <c r="C218">
        <v>163</v>
      </c>
      <c r="D218">
        <v>92</v>
      </c>
      <c r="E218">
        <v>3</v>
      </c>
      <c r="F218">
        <v>3</v>
      </c>
    </row>
    <row r="219" spans="1:6" ht="17" x14ac:dyDescent="0.25">
      <c r="A219" s="6">
        <v>1224</v>
      </c>
      <c r="B219" t="s">
        <v>122</v>
      </c>
      <c r="C219">
        <v>134</v>
      </c>
      <c r="D219">
        <v>106</v>
      </c>
      <c r="E219">
        <v>3</v>
      </c>
      <c r="F219">
        <v>3</v>
      </c>
    </row>
    <row r="220" spans="1:6" ht="17" x14ac:dyDescent="0.25">
      <c r="A220" s="6">
        <v>1224</v>
      </c>
      <c r="B220" t="s">
        <v>102</v>
      </c>
      <c r="C220">
        <v>84</v>
      </c>
      <c r="D220">
        <v>65</v>
      </c>
      <c r="E220">
        <v>3</v>
      </c>
      <c r="F220">
        <v>3</v>
      </c>
    </row>
    <row r="221" spans="1:6" ht="17" x14ac:dyDescent="0.25">
      <c r="A221" s="6">
        <v>1224</v>
      </c>
      <c r="B221" t="s">
        <v>123</v>
      </c>
      <c r="C221">
        <v>88</v>
      </c>
      <c r="D221">
        <v>85</v>
      </c>
      <c r="E221">
        <v>3</v>
      </c>
      <c r="F221">
        <v>3</v>
      </c>
    </row>
    <row r="222" spans="1:6" ht="17" x14ac:dyDescent="0.25">
      <c r="A222" s="6">
        <v>1272</v>
      </c>
      <c r="B222" t="s">
        <v>100</v>
      </c>
      <c r="C222">
        <v>184</v>
      </c>
      <c r="D222">
        <v>121</v>
      </c>
      <c r="E222">
        <v>3</v>
      </c>
      <c r="F222">
        <v>3</v>
      </c>
    </row>
    <row r="223" spans="1:6" ht="17" x14ac:dyDescent="0.25">
      <c r="A223" s="6">
        <v>1272</v>
      </c>
      <c r="B223" t="s">
        <v>122</v>
      </c>
      <c r="C223">
        <v>154</v>
      </c>
      <c r="D223">
        <v>115</v>
      </c>
      <c r="E223">
        <v>3</v>
      </c>
      <c r="F223">
        <v>3</v>
      </c>
    </row>
    <row r="224" spans="1:6" ht="17" x14ac:dyDescent="0.25">
      <c r="A224" s="6">
        <v>1272</v>
      </c>
      <c r="B224" t="s">
        <v>102</v>
      </c>
      <c r="C224">
        <v>83</v>
      </c>
      <c r="D224">
        <v>79</v>
      </c>
      <c r="E224">
        <v>3</v>
      </c>
      <c r="F224">
        <v>3</v>
      </c>
    </row>
    <row r="225" spans="1:6" ht="17" x14ac:dyDescent="0.25">
      <c r="A225" s="6">
        <v>1272</v>
      </c>
      <c r="B225" t="s">
        <v>123</v>
      </c>
      <c r="C225">
        <v>121</v>
      </c>
      <c r="D225">
        <v>106</v>
      </c>
      <c r="E225">
        <v>3</v>
      </c>
      <c r="F225">
        <v>3</v>
      </c>
    </row>
    <row r="226" spans="1:6" ht="17" x14ac:dyDescent="0.25">
      <c r="A226" s="6">
        <v>1320</v>
      </c>
      <c r="B226" t="s">
        <v>100</v>
      </c>
      <c r="C226">
        <v>152</v>
      </c>
      <c r="D226">
        <v>120</v>
      </c>
      <c r="E226">
        <v>3</v>
      </c>
      <c r="F226">
        <v>3</v>
      </c>
    </row>
    <row r="227" spans="1:6" ht="17" x14ac:dyDescent="0.25">
      <c r="A227" s="6">
        <v>1320</v>
      </c>
      <c r="B227" t="s">
        <v>122</v>
      </c>
      <c r="C227">
        <v>127</v>
      </c>
      <c r="D227">
        <v>158</v>
      </c>
      <c r="E227">
        <v>3</v>
      </c>
      <c r="F227">
        <v>3</v>
      </c>
    </row>
    <row r="228" spans="1:6" ht="17" x14ac:dyDescent="0.25">
      <c r="A228" s="6">
        <v>1320</v>
      </c>
      <c r="B228" t="s">
        <v>102</v>
      </c>
      <c r="C228">
        <v>105</v>
      </c>
      <c r="D228">
        <v>74</v>
      </c>
      <c r="E228">
        <v>3</v>
      </c>
      <c r="F228">
        <v>3</v>
      </c>
    </row>
    <row r="229" spans="1:6" ht="17" x14ac:dyDescent="0.25">
      <c r="A229" s="6">
        <v>1320</v>
      </c>
      <c r="B229" t="s">
        <v>123</v>
      </c>
      <c r="C229">
        <v>124</v>
      </c>
      <c r="D229">
        <v>98</v>
      </c>
      <c r="E229">
        <v>3</v>
      </c>
      <c r="F229">
        <v>3</v>
      </c>
    </row>
    <row r="230" spans="1:6" ht="17" x14ac:dyDescent="0.25">
      <c r="A230" s="6">
        <v>1368</v>
      </c>
      <c r="B230" t="s">
        <v>100</v>
      </c>
      <c r="C230">
        <v>145</v>
      </c>
      <c r="D230">
        <v>165</v>
      </c>
      <c r="E230">
        <v>3</v>
      </c>
      <c r="F230">
        <v>3</v>
      </c>
    </row>
    <row r="231" spans="1:6" ht="17" x14ac:dyDescent="0.25">
      <c r="A231" s="6">
        <v>1368</v>
      </c>
      <c r="B231" t="s">
        <v>122</v>
      </c>
      <c r="C231">
        <v>167</v>
      </c>
      <c r="D231">
        <v>125</v>
      </c>
      <c r="E231">
        <v>3</v>
      </c>
      <c r="F231">
        <v>3</v>
      </c>
    </row>
    <row r="232" spans="1:6" ht="17" x14ac:dyDescent="0.25">
      <c r="A232" s="6">
        <v>1368</v>
      </c>
      <c r="B232" t="s">
        <v>102</v>
      </c>
      <c r="C232">
        <v>72</v>
      </c>
      <c r="D232">
        <v>86</v>
      </c>
      <c r="E232">
        <v>3</v>
      </c>
      <c r="F232">
        <v>3</v>
      </c>
    </row>
    <row r="233" spans="1:6" ht="17" x14ac:dyDescent="0.25">
      <c r="A233" s="6">
        <v>1368</v>
      </c>
      <c r="B233" t="s">
        <v>123</v>
      </c>
      <c r="C233">
        <v>116</v>
      </c>
      <c r="D233">
        <v>82</v>
      </c>
      <c r="E233">
        <v>3</v>
      </c>
      <c r="F233">
        <v>3</v>
      </c>
    </row>
    <row r="234" spans="1:6" ht="17" x14ac:dyDescent="0.25">
      <c r="A234" s="6">
        <v>1416</v>
      </c>
      <c r="B234" t="s">
        <v>100</v>
      </c>
      <c r="C234">
        <v>170</v>
      </c>
      <c r="D234">
        <v>160</v>
      </c>
      <c r="E234">
        <v>3</v>
      </c>
      <c r="F234">
        <v>3</v>
      </c>
    </row>
    <row r="235" spans="1:6" ht="17" x14ac:dyDescent="0.25">
      <c r="A235" s="6">
        <v>1416</v>
      </c>
      <c r="B235" t="s">
        <v>122</v>
      </c>
      <c r="C235">
        <v>157</v>
      </c>
      <c r="D235">
        <v>151</v>
      </c>
      <c r="E235">
        <v>3</v>
      </c>
      <c r="F235">
        <v>3</v>
      </c>
    </row>
    <row r="236" spans="1:6" ht="17" x14ac:dyDescent="0.25">
      <c r="A236" s="6">
        <v>1416</v>
      </c>
      <c r="B236" t="s">
        <v>102</v>
      </c>
      <c r="C236">
        <v>88</v>
      </c>
      <c r="D236">
        <v>85</v>
      </c>
      <c r="E236">
        <v>3</v>
      </c>
      <c r="F236">
        <v>3</v>
      </c>
    </row>
    <row r="237" spans="1:6" ht="17" x14ac:dyDescent="0.25">
      <c r="A237" s="6">
        <v>1416</v>
      </c>
      <c r="B237" t="s">
        <v>123</v>
      </c>
      <c r="C237">
        <v>110</v>
      </c>
      <c r="D237">
        <v>90</v>
      </c>
      <c r="E237">
        <v>3</v>
      </c>
      <c r="F237">
        <v>3</v>
      </c>
    </row>
    <row r="238" spans="1:6" ht="17" x14ac:dyDescent="0.25">
      <c r="A238" s="6">
        <v>1464</v>
      </c>
      <c r="B238" t="s">
        <v>100</v>
      </c>
      <c r="C238">
        <v>175</v>
      </c>
      <c r="D238">
        <v>133</v>
      </c>
      <c r="E238">
        <v>3</v>
      </c>
      <c r="F238">
        <v>3</v>
      </c>
    </row>
    <row r="239" spans="1:6" ht="17" x14ac:dyDescent="0.25">
      <c r="A239" s="6">
        <v>1464</v>
      </c>
      <c r="B239" t="s">
        <v>122</v>
      </c>
      <c r="C239">
        <v>195</v>
      </c>
      <c r="D239">
        <v>143</v>
      </c>
      <c r="E239">
        <v>3</v>
      </c>
      <c r="F239">
        <v>3</v>
      </c>
    </row>
    <row r="240" spans="1:6" ht="17" x14ac:dyDescent="0.25">
      <c r="A240" s="6">
        <v>1464</v>
      </c>
      <c r="B240" t="s">
        <v>102</v>
      </c>
      <c r="C240">
        <v>92</v>
      </c>
      <c r="D240">
        <v>61</v>
      </c>
      <c r="E240">
        <v>3</v>
      </c>
      <c r="F240">
        <v>3</v>
      </c>
    </row>
    <row r="241" spans="1:6" ht="17" x14ac:dyDescent="0.25">
      <c r="A241" s="6">
        <v>1464</v>
      </c>
      <c r="B241" t="s">
        <v>123</v>
      </c>
      <c r="C241">
        <v>137</v>
      </c>
      <c r="D241">
        <v>99</v>
      </c>
      <c r="E241">
        <v>3</v>
      </c>
      <c r="F241">
        <v>3</v>
      </c>
    </row>
    <row r="242" spans="1:6" ht="17" x14ac:dyDescent="0.25">
      <c r="A242" s="6">
        <v>1512</v>
      </c>
      <c r="B242" t="s">
        <v>100</v>
      </c>
      <c r="C242">
        <v>156</v>
      </c>
      <c r="D242">
        <v>108</v>
      </c>
      <c r="E242">
        <v>3</v>
      </c>
      <c r="F242">
        <v>3</v>
      </c>
    </row>
    <row r="243" spans="1:6" ht="17" x14ac:dyDescent="0.25">
      <c r="A243" s="6">
        <v>1512</v>
      </c>
      <c r="B243" t="s">
        <v>122</v>
      </c>
      <c r="C243">
        <v>160</v>
      </c>
      <c r="D243">
        <v>136</v>
      </c>
      <c r="E243">
        <v>3</v>
      </c>
      <c r="F243">
        <v>3</v>
      </c>
    </row>
    <row r="244" spans="1:6" ht="17" x14ac:dyDescent="0.25">
      <c r="A244" s="6">
        <v>1512</v>
      </c>
      <c r="B244" t="s">
        <v>102</v>
      </c>
      <c r="C244">
        <v>96</v>
      </c>
      <c r="D244">
        <v>77</v>
      </c>
      <c r="E244">
        <v>3</v>
      </c>
      <c r="F244">
        <v>3</v>
      </c>
    </row>
    <row r="245" spans="1:6" ht="17" x14ac:dyDescent="0.25">
      <c r="A245" s="6">
        <v>1512</v>
      </c>
      <c r="B245" t="s">
        <v>123</v>
      </c>
      <c r="C245">
        <v>127</v>
      </c>
      <c r="D245">
        <v>104</v>
      </c>
      <c r="E245">
        <v>3</v>
      </c>
      <c r="F245">
        <v>3</v>
      </c>
    </row>
    <row r="246" spans="1:6" ht="17" x14ac:dyDescent="0.25">
      <c r="A246" s="6">
        <v>1560</v>
      </c>
      <c r="B246" t="s">
        <v>100</v>
      </c>
      <c r="C246">
        <v>153</v>
      </c>
      <c r="D246">
        <v>115</v>
      </c>
      <c r="E246">
        <v>3</v>
      </c>
      <c r="F246">
        <v>3</v>
      </c>
    </row>
    <row r="247" spans="1:6" ht="17" x14ac:dyDescent="0.25">
      <c r="A247" s="6">
        <v>1560</v>
      </c>
      <c r="B247" t="s">
        <v>122</v>
      </c>
      <c r="C247">
        <v>166</v>
      </c>
      <c r="D247">
        <v>109</v>
      </c>
      <c r="E247">
        <v>3</v>
      </c>
      <c r="F247">
        <v>3</v>
      </c>
    </row>
    <row r="248" spans="1:6" ht="17" x14ac:dyDescent="0.25">
      <c r="A248" s="6">
        <v>1560</v>
      </c>
      <c r="B248" t="s">
        <v>102</v>
      </c>
      <c r="C248">
        <v>104</v>
      </c>
      <c r="D248">
        <v>69</v>
      </c>
      <c r="E248">
        <v>3</v>
      </c>
      <c r="F248">
        <v>3</v>
      </c>
    </row>
    <row r="249" spans="1:6" ht="17" x14ac:dyDescent="0.25">
      <c r="A249" s="6">
        <v>1560</v>
      </c>
      <c r="B249" t="s">
        <v>123</v>
      </c>
      <c r="C249">
        <v>112</v>
      </c>
      <c r="D249">
        <v>98</v>
      </c>
      <c r="E249">
        <v>3</v>
      </c>
      <c r="F249">
        <v>3</v>
      </c>
    </row>
    <row r="250" spans="1:6" ht="17" x14ac:dyDescent="0.25">
      <c r="A250" s="6">
        <v>1608</v>
      </c>
      <c r="B250" t="s">
        <v>100</v>
      </c>
      <c r="C250">
        <v>171</v>
      </c>
      <c r="D250">
        <v>118</v>
      </c>
      <c r="E250">
        <v>3</v>
      </c>
      <c r="F250">
        <v>3</v>
      </c>
    </row>
    <row r="251" spans="1:6" ht="17" x14ac:dyDescent="0.25">
      <c r="A251" s="6">
        <v>1608</v>
      </c>
      <c r="B251" t="s">
        <v>122</v>
      </c>
      <c r="C251">
        <v>181</v>
      </c>
      <c r="D251">
        <v>112</v>
      </c>
      <c r="E251">
        <v>3</v>
      </c>
      <c r="F251">
        <v>3</v>
      </c>
    </row>
    <row r="252" spans="1:6" ht="17" x14ac:dyDescent="0.25">
      <c r="A252" s="6">
        <v>1608</v>
      </c>
      <c r="B252" t="s">
        <v>102</v>
      </c>
      <c r="C252">
        <v>102</v>
      </c>
      <c r="D252">
        <v>85</v>
      </c>
      <c r="E252">
        <v>3</v>
      </c>
      <c r="F252">
        <v>3</v>
      </c>
    </row>
    <row r="253" spans="1:6" ht="17" x14ac:dyDescent="0.25">
      <c r="A253" s="6">
        <v>1608</v>
      </c>
      <c r="B253" t="s">
        <v>123</v>
      </c>
      <c r="C253">
        <v>111</v>
      </c>
      <c r="D253">
        <v>95</v>
      </c>
      <c r="E253">
        <v>3</v>
      </c>
      <c r="F253">
        <v>3</v>
      </c>
    </row>
    <row r="254" spans="1:6" ht="17" x14ac:dyDescent="0.25">
      <c r="A254" s="6">
        <v>1656</v>
      </c>
      <c r="B254" t="s">
        <v>100</v>
      </c>
      <c r="C254">
        <v>151</v>
      </c>
      <c r="D254">
        <v>135</v>
      </c>
      <c r="E254">
        <v>3</v>
      </c>
      <c r="F254">
        <v>3</v>
      </c>
    </row>
    <row r="255" spans="1:6" ht="17" x14ac:dyDescent="0.25">
      <c r="A255" s="6">
        <v>1656</v>
      </c>
      <c r="B255" t="s">
        <v>122</v>
      </c>
      <c r="C255">
        <v>159</v>
      </c>
      <c r="D255">
        <v>126</v>
      </c>
      <c r="E255">
        <v>3</v>
      </c>
      <c r="F255">
        <v>3</v>
      </c>
    </row>
    <row r="256" spans="1:6" ht="17" x14ac:dyDescent="0.25">
      <c r="A256" s="6">
        <v>1656</v>
      </c>
      <c r="B256" t="s">
        <v>102</v>
      </c>
      <c r="C256">
        <v>94</v>
      </c>
      <c r="D256">
        <v>64</v>
      </c>
      <c r="E256">
        <v>3</v>
      </c>
      <c r="F256">
        <v>3</v>
      </c>
    </row>
    <row r="257" spans="1:6" ht="17" x14ac:dyDescent="0.25">
      <c r="A257" s="6">
        <v>1656</v>
      </c>
      <c r="B257" t="s">
        <v>123</v>
      </c>
      <c r="C257">
        <v>91</v>
      </c>
      <c r="D257">
        <v>93</v>
      </c>
      <c r="E257">
        <v>3</v>
      </c>
      <c r="F257">
        <v>3</v>
      </c>
    </row>
    <row r="258" spans="1:6" ht="17" x14ac:dyDescent="0.25">
      <c r="A258" s="6">
        <v>1704</v>
      </c>
      <c r="B258" t="s">
        <v>100</v>
      </c>
      <c r="C258">
        <v>168</v>
      </c>
      <c r="D258">
        <v>138</v>
      </c>
      <c r="E258">
        <v>3</v>
      </c>
      <c r="F258">
        <v>3</v>
      </c>
    </row>
    <row r="259" spans="1:6" ht="17" x14ac:dyDescent="0.25">
      <c r="A259" s="6">
        <v>1704</v>
      </c>
      <c r="B259" t="s">
        <v>122</v>
      </c>
      <c r="C259">
        <v>166</v>
      </c>
      <c r="D259">
        <v>126</v>
      </c>
      <c r="E259">
        <v>3</v>
      </c>
      <c r="F259">
        <v>3</v>
      </c>
    </row>
    <row r="260" spans="1:6" ht="17" x14ac:dyDescent="0.25">
      <c r="A260" s="6">
        <v>1704</v>
      </c>
      <c r="B260" t="s">
        <v>102</v>
      </c>
      <c r="C260">
        <v>77</v>
      </c>
      <c r="D260">
        <v>80</v>
      </c>
      <c r="E260">
        <v>3</v>
      </c>
      <c r="F260">
        <v>3</v>
      </c>
    </row>
    <row r="261" spans="1:6" ht="17" x14ac:dyDescent="0.25">
      <c r="A261" s="6">
        <v>1704</v>
      </c>
      <c r="B261" t="s">
        <v>123</v>
      </c>
      <c r="C261">
        <v>119</v>
      </c>
      <c r="D261">
        <v>95</v>
      </c>
      <c r="E261">
        <v>3</v>
      </c>
      <c r="F261">
        <v>3</v>
      </c>
    </row>
    <row r="262" spans="1:6" ht="17" x14ac:dyDescent="0.25">
      <c r="A262" s="6">
        <v>1752</v>
      </c>
      <c r="B262" t="s">
        <v>100</v>
      </c>
      <c r="C262">
        <v>155</v>
      </c>
      <c r="D262">
        <v>130</v>
      </c>
      <c r="E262">
        <v>3</v>
      </c>
      <c r="F262">
        <v>3</v>
      </c>
    </row>
    <row r="263" spans="1:6" ht="17" x14ac:dyDescent="0.25">
      <c r="A263" s="6">
        <v>1752</v>
      </c>
      <c r="B263" t="s">
        <v>122</v>
      </c>
      <c r="C263">
        <v>138</v>
      </c>
      <c r="D263">
        <v>95</v>
      </c>
      <c r="E263">
        <v>3</v>
      </c>
      <c r="F263">
        <v>3</v>
      </c>
    </row>
    <row r="264" spans="1:6" ht="17" x14ac:dyDescent="0.25">
      <c r="A264" s="6">
        <v>1752</v>
      </c>
      <c r="B264" t="s">
        <v>102</v>
      </c>
      <c r="C264">
        <v>90</v>
      </c>
      <c r="D264">
        <v>96</v>
      </c>
      <c r="E264">
        <v>3</v>
      </c>
      <c r="F264">
        <v>3</v>
      </c>
    </row>
    <row r="265" spans="1:6" ht="17" x14ac:dyDescent="0.25">
      <c r="A265" s="6">
        <v>1752</v>
      </c>
      <c r="B265" t="s">
        <v>123</v>
      </c>
      <c r="C265">
        <v>97</v>
      </c>
      <c r="D265">
        <v>82</v>
      </c>
      <c r="E265">
        <v>3</v>
      </c>
      <c r="F265">
        <v>3</v>
      </c>
    </row>
    <row r="266" spans="1:6" ht="17" x14ac:dyDescent="0.25">
      <c r="A266" s="6">
        <v>1800</v>
      </c>
      <c r="B266" t="s">
        <v>100</v>
      </c>
      <c r="C266">
        <v>150</v>
      </c>
      <c r="D266">
        <v>124</v>
      </c>
      <c r="E266">
        <v>3</v>
      </c>
      <c r="F266">
        <v>3</v>
      </c>
    </row>
    <row r="267" spans="1:6" ht="17" x14ac:dyDescent="0.25">
      <c r="A267" s="6">
        <v>1800</v>
      </c>
      <c r="B267" t="s">
        <v>122</v>
      </c>
      <c r="C267">
        <v>154</v>
      </c>
      <c r="D267">
        <v>137</v>
      </c>
      <c r="E267">
        <v>3</v>
      </c>
      <c r="F267">
        <v>3</v>
      </c>
    </row>
    <row r="268" spans="1:6" ht="17" x14ac:dyDescent="0.25">
      <c r="A268" s="6">
        <v>1800</v>
      </c>
      <c r="B268" t="s">
        <v>102</v>
      </c>
      <c r="C268">
        <v>85</v>
      </c>
      <c r="D268">
        <v>69</v>
      </c>
      <c r="E268">
        <v>3</v>
      </c>
      <c r="F268">
        <v>3</v>
      </c>
    </row>
    <row r="269" spans="1:6" ht="17" x14ac:dyDescent="0.25">
      <c r="A269" s="6">
        <v>1800</v>
      </c>
      <c r="B269" t="s">
        <v>123</v>
      </c>
      <c r="C269">
        <v>90</v>
      </c>
      <c r="D269">
        <v>95</v>
      </c>
      <c r="E269">
        <v>3</v>
      </c>
      <c r="F269">
        <v>3</v>
      </c>
    </row>
    <row r="270" spans="1:6" ht="17" x14ac:dyDescent="0.25">
      <c r="A270" s="6">
        <v>1848</v>
      </c>
      <c r="B270" t="s">
        <v>100</v>
      </c>
      <c r="C270">
        <v>172</v>
      </c>
      <c r="D270">
        <v>139</v>
      </c>
      <c r="E270">
        <v>3</v>
      </c>
      <c r="F270">
        <v>3</v>
      </c>
    </row>
    <row r="271" spans="1:6" ht="17" x14ac:dyDescent="0.25">
      <c r="A271" s="6">
        <v>1848</v>
      </c>
      <c r="B271" t="s">
        <v>122</v>
      </c>
      <c r="C271">
        <v>133</v>
      </c>
      <c r="D271">
        <v>119</v>
      </c>
      <c r="E271">
        <v>3</v>
      </c>
      <c r="F271">
        <v>3</v>
      </c>
    </row>
    <row r="272" spans="1:6" ht="17" x14ac:dyDescent="0.25">
      <c r="A272" s="6">
        <v>1848</v>
      </c>
      <c r="B272" t="s">
        <v>102</v>
      </c>
      <c r="C272">
        <v>80</v>
      </c>
      <c r="D272">
        <v>80</v>
      </c>
      <c r="E272">
        <v>3</v>
      </c>
      <c r="F272">
        <v>3</v>
      </c>
    </row>
    <row r="273" spans="1:6" ht="17" x14ac:dyDescent="0.25">
      <c r="A273" s="6">
        <v>1848</v>
      </c>
      <c r="B273" t="s">
        <v>123</v>
      </c>
      <c r="C273">
        <v>114</v>
      </c>
      <c r="D273">
        <v>116</v>
      </c>
      <c r="E273">
        <v>3</v>
      </c>
      <c r="F273">
        <v>3</v>
      </c>
    </row>
    <row r="274" spans="1:6" ht="17" x14ac:dyDescent="0.25">
      <c r="A274" s="6">
        <v>1896</v>
      </c>
      <c r="B274" t="s">
        <v>100</v>
      </c>
      <c r="C274">
        <v>145</v>
      </c>
      <c r="D274">
        <v>115</v>
      </c>
      <c r="E274">
        <v>3</v>
      </c>
      <c r="F274">
        <v>3</v>
      </c>
    </row>
    <row r="275" spans="1:6" ht="17" x14ac:dyDescent="0.25">
      <c r="A275" s="6">
        <v>1896</v>
      </c>
      <c r="B275" t="s">
        <v>122</v>
      </c>
      <c r="C275">
        <v>147</v>
      </c>
      <c r="D275">
        <v>112</v>
      </c>
      <c r="E275">
        <v>3</v>
      </c>
      <c r="F275">
        <v>3</v>
      </c>
    </row>
    <row r="276" spans="1:6" ht="17" x14ac:dyDescent="0.25">
      <c r="A276" s="6">
        <v>1896</v>
      </c>
      <c r="B276" t="s">
        <v>102</v>
      </c>
      <c r="C276">
        <v>96</v>
      </c>
      <c r="D276">
        <v>61</v>
      </c>
      <c r="E276">
        <v>3</v>
      </c>
      <c r="F276">
        <v>3</v>
      </c>
    </row>
    <row r="277" spans="1:6" ht="17" x14ac:dyDescent="0.25">
      <c r="A277" s="6">
        <v>1896</v>
      </c>
      <c r="B277" t="s">
        <v>123</v>
      </c>
      <c r="C277">
        <v>119</v>
      </c>
      <c r="D277">
        <v>94</v>
      </c>
      <c r="E277">
        <v>3</v>
      </c>
      <c r="F277">
        <v>3</v>
      </c>
    </row>
    <row r="278" spans="1:6" ht="17" x14ac:dyDescent="0.25">
      <c r="A278" s="6">
        <v>1944</v>
      </c>
      <c r="B278" t="s">
        <v>100</v>
      </c>
      <c r="C278">
        <v>173</v>
      </c>
      <c r="D278">
        <v>137</v>
      </c>
      <c r="E278">
        <v>3</v>
      </c>
      <c r="F278">
        <v>3</v>
      </c>
    </row>
    <row r="279" spans="1:6" ht="17" x14ac:dyDescent="0.25">
      <c r="A279" s="6">
        <v>1944</v>
      </c>
      <c r="B279" t="s">
        <v>122</v>
      </c>
      <c r="C279">
        <v>140</v>
      </c>
      <c r="D279">
        <v>131</v>
      </c>
      <c r="E279">
        <v>3</v>
      </c>
      <c r="F279">
        <v>3</v>
      </c>
    </row>
    <row r="280" spans="1:6" ht="17" x14ac:dyDescent="0.25">
      <c r="A280" s="6">
        <v>1944</v>
      </c>
      <c r="B280" t="s">
        <v>102</v>
      </c>
      <c r="C280">
        <v>102</v>
      </c>
      <c r="D280">
        <v>73</v>
      </c>
      <c r="E280">
        <v>3</v>
      </c>
      <c r="F280">
        <v>3</v>
      </c>
    </row>
    <row r="281" spans="1:6" ht="17" x14ac:dyDescent="0.25">
      <c r="A281" s="6">
        <v>1944</v>
      </c>
      <c r="B281" t="s">
        <v>123</v>
      </c>
      <c r="C281">
        <v>116</v>
      </c>
      <c r="D281">
        <v>89</v>
      </c>
      <c r="E281">
        <v>3</v>
      </c>
      <c r="F281">
        <v>3</v>
      </c>
    </row>
    <row r="282" spans="1:6" ht="17" x14ac:dyDescent="0.25">
      <c r="A282" s="6">
        <v>1992</v>
      </c>
      <c r="B282" t="s">
        <v>100</v>
      </c>
      <c r="C282">
        <v>177</v>
      </c>
      <c r="D282">
        <v>90</v>
      </c>
      <c r="E282">
        <v>3</v>
      </c>
      <c r="F282">
        <v>3</v>
      </c>
    </row>
    <row r="283" spans="1:6" ht="17" x14ac:dyDescent="0.25">
      <c r="A283" s="6">
        <v>1992</v>
      </c>
      <c r="B283" t="s">
        <v>122</v>
      </c>
      <c r="C283">
        <v>160</v>
      </c>
      <c r="D283">
        <v>108</v>
      </c>
      <c r="E283">
        <v>3</v>
      </c>
      <c r="F283">
        <v>3</v>
      </c>
    </row>
    <row r="284" spans="1:6" ht="17" x14ac:dyDescent="0.25">
      <c r="A284" s="6">
        <v>1992</v>
      </c>
      <c r="B284" t="s">
        <v>102</v>
      </c>
      <c r="C284">
        <v>100</v>
      </c>
      <c r="D284">
        <v>82</v>
      </c>
      <c r="E284">
        <v>3</v>
      </c>
      <c r="F284">
        <v>3</v>
      </c>
    </row>
    <row r="285" spans="1:6" ht="17" x14ac:dyDescent="0.25">
      <c r="A285" s="6">
        <v>1992</v>
      </c>
      <c r="B285" t="s">
        <v>123</v>
      </c>
      <c r="C285">
        <v>120</v>
      </c>
      <c r="D285">
        <v>82</v>
      </c>
      <c r="E285">
        <v>3</v>
      </c>
      <c r="F285">
        <v>3</v>
      </c>
    </row>
    <row r="286" spans="1:6" ht="17" x14ac:dyDescent="0.25">
      <c r="A286" s="6">
        <v>2040</v>
      </c>
      <c r="B286" t="s">
        <v>100</v>
      </c>
      <c r="C286">
        <v>154</v>
      </c>
      <c r="D286">
        <v>116</v>
      </c>
      <c r="E286">
        <v>3</v>
      </c>
      <c r="F286">
        <v>3</v>
      </c>
    </row>
    <row r="287" spans="1:6" ht="17" x14ac:dyDescent="0.25">
      <c r="A287" s="6">
        <v>2040</v>
      </c>
      <c r="B287" t="s">
        <v>122</v>
      </c>
      <c r="C287">
        <v>150</v>
      </c>
      <c r="D287">
        <v>108</v>
      </c>
      <c r="E287">
        <v>3</v>
      </c>
      <c r="F287">
        <v>3</v>
      </c>
    </row>
    <row r="288" spans="1:6" ht="17" x14ac:dyDescent="0.25">
      <c r="A288" s="6">
        <v>2040</v>
      </c>
      <c r="B288" t="s">
        <v>102</v>
      </c>
      <c r="C288">
        <v>82</v>
      </c>
      <c r="D288">
        <v>69</v>
      </c>
      <c r="E288">
        <v>3</v>
      </c>
      <c r="F288">
        <v>3</v>
      </c>
    </row>
    <row r="289" spans="1:6" ht="17" x14ac:dyDescent="0.25">
      <c r="A289" s="6">
        <v>2040</v>
      </c>
      <c r="B289" t="s">
        <v>123</v>
      </c>
      <c r="C289">
        <v>86</v>
      </c>
      <c r="D289">
        <v>86</v>
      </c>
      <c r="E289">
        <v>3</v>
      </c>
      <c r="F289">
        <v>3</v>
      </c>
    </row>
    <row r="290" spans="1:6" ht="17" x14ac:dyDescent="0.25">
      <c r="A290" s="6">
        <v>2088</v>
      </c>
      <c r="B290" t="s">
        <v>100</v>
      </c>
      <c r="C290">
        <v>192</v>
      </c>
      <c r="D290">
        <v>154</v>
      </c>
      <c r="E290">
        <v>3</v>
      </c>
      <c r="F290">
        <v>3</v>
      </c>
    </row>
    <row r="291" spans="1:6" ht="17" x14ac:dyDescent="0.25">
      <c r="A291" s="6">
        <v>2088</v>
      </c>
      <c r="B291" t="s">
        <v>122</v>
      </c>
      <c r="C291">
        <v>212</v>
      </c>
      <c r="D291">
        <v>155</v>
      </c>
      <c r="E291">
        <v>3</v>
      </c>
      <c r="F291">
        <v>3</v>
      </c>
    </row>
    <row r="292" spans="1:6" ht="17" x14ac:dyDescent="0.25">
      <c r="A292" s="6">
        <v>2088</v>
      </c>
      <c r="B292" t="s">
        <v>102</v>
      </c>
      <c r="C292">
        <v>95</v>
      </c>
      <c r="D292">
        <v>110</v>
      </c>
      <c r="E292">
        <v>3</v>
      </c>
      <c r="F292">
        <v>3</v>
      </c>
    </row>
    <row r="293" spans="1:6" ht="17" x14ac:dyDescent="0.25">
      <c r="A293" s="6">
        <v>2088</v>
      </c>
      <c r="B293" t="s">
        <v>123</v>
      </c>
      <c r="C293">
        <v>116</v>
      </c>
      <c r="D293">
        <v>140</v>
      </c>
      <c r="E293">
        <v>3</v>
      </c>
      <c r="F293">
        <v>3</v>
      </c>
    </row>
    <row r="294" spans="1:6" ht="17" x14ac:dyDescent="0.25">
      <c r="A294" s="6">
        <v>2136</v>
      </c>
      <c r="B294" t="s">
        <v>100</v>
      </c>
      <c r="C294">
        <v>152</v>
      </c>
      <c r="D294">
        <v>104</v>
      </c>
      <c r="E294">
        <v>3</v>
      </c>
      <c r="F294">
        <v>3</v>
      </c>
    </row>
    <row r="295" spans="1:6" ht="17" x14ac:dyDescent="0.25">
      <c r="A295" s="6">
        <v>2136</v>
      </c>
      <c r="B295" t="s">
        <v>122</v>
      </c>
      <c r="C295">
        <v>143</v>
      </c>
      <c r="D295">
        <v>115</v>
      </c>
      <c r="E295">
        <v>3</v>
      </c>
      <c r="F295">
        <v>3</v>
      </c>
    </row>
    <row r="296" spans="1:6" ht="17" x14ac:dyDescent="0.25">
      <c r="A296" s="6">
        <v>2136</v>
      </c>
      <c r="B296" t="s">
        <v>102</v>
      </c>
      <c r="C296">
        <v>59</v>
      </c>
      <c r="D296">
        <v>90</v>
      </c>
      <c r="E296">
        <v>3</v>
      </c>
      <c r="F296">
        <v>3</v>
      </c>
    </row>
    <row r="297" spans="1:6" ht="17" x14ac:dyDescent="0.25">
      <c r="A297" s="6">
        <v>2136</v>
      </c>
      <c r="B297" t="s">
        <v>123</v>
      </c>
      <c r="C297">
        <v>107</v>
      </c>
      <c r="D297">
        <v>85</v>
      </c>
      <c r="E297">
        <v>3</v>
      </c>
      <c r="F297">
        <v>3</v>
      </c>
    </row>
    <row r="298" spans="1:6" ht="17" x14ac:dyDescent="0.25">
      <c r="A298" s="6">
        <v>2184</v>
      </c>
      <c r="B298" t="s">
        <v>100</v>
      </c>
      <c r="C298">
        <v>154</v>
      </c>
      <c r="D298">
        <v>174</v>
      </c>
      <c r="E298">
        <v>3</v>
      </c>
      <c r="F298">
        <v>3</v>
      </c>
    </row>
    <row r="299" spans="1:6" ht="17" x14ac:dyDescent="0.25">
      <c r="A299" s="6">
        <v>2184</v>
      </c>
      <c r="B299" t="s">
        <v>122</v>
      </c>
      <c r="C299">
        <v>165</v>
      </c>
      <c r="D299">
        <v>165</v>
      </c>
      <c r="E299">
        <v>3</v>
      </c>
      <c r="F299">
        <v>3</v>
      </c>
    </row>
    <row r="300" spans="1:6" ht="17" x14ac:dyDescent="0.25">
      <c r="A300" s="6">
        <v>2184</v>
      </c>
      <c r="B300" t="s">
        <v>102</v>
      </c>
      <c r="C300">
        <v>129</v>
      </c>
      <c r="D300">
        <v>89</v>
      </c>
      <c r="E300">
        <v>3</v>
      </c>
      <c r="F300">
        <v>3</v>
      </c>
    </row>
    <row r="301" spans="1:6" ht="17" x14ac:dyDescent="0.25">
      <c r="A301" s="6">
        <v>2814</v>
      </c>
      <c r="B301" t="s">
        <v>123</v>
      </c>
      <c r="C301">
        <v>111</v>
      </c>
      <c r="D301">
        <v>82</v>
      </c>
      <c r="E301">
        <v>3</v>
      </c>
      <c r="F301">
        <v>3</v>
      </c>
    </row>
    <row r="302" spans="1:6" ht="17" x14ac:dyDescent="0.25">
      <c r="A302" s="6">
        <v>2232</v>
      </c>
      <c r="B302" t="s">
        <v>100</v>
      </c>
      <c r="C302">
        <v>120</v>
      </c>
      <c r="D302">
        <v>123</v>
      </c>
      <c r="E302">
        <v>3</v>
      </c>
      <c r="F302">
        <v>3</v>
      </c>
    </row>
    <row r="303" spans="1:6" ht="17" x14ac:dyDescent="0.25">
      <c r="A303" s="6">
        <v>2232</v>
      </c>
      <c r="B303" t="s">
        <v>122</v>
      </c>
      <c r="C303">
        <v>157</v>
      </c>
      <c r="D303">
        <v>143</v>
      </c>
      <c r="E303">
        <v>3</v>
      </c>
      <c r="F303">
        <v>3</v>
      </c>
    </row>
    <row r="304" spans="1:6" ht="17" x14ac:dyDescent="0.25">
      <c r="A304" s="6">
        <v>2232</v>
      </c>
      <c r="B304" t="s">
        <v>102</v>
      </c>
      <c r="C304">
        <v>75</v>
      </c>
      <c r="D304">
        <v>71</v>
      </c>
      <c r="E304">
        <v>3</v>
      </c>
      <c r="F304">
        <v>3</v>
      </c>
    </row>
    <row r="305" spans="1:6" ht="17" x14ac:dyDescent="0.25">
      <c r="A305" s="6">
        <v>2232</v>
      </c>
      <c r="B305" t="s">
        <v>123</v>
      </c>
      <c r="C305">
        <v>101</v>
      </c>
      <c r="D305">
        <v>89</v>
      </c>
      <c r="E305">
        <v>3</v>
      </c>
      <c r="F305">
        <v>3</v>
      </c>
    </row>
    <row r="306" spans="1:6" ht="17" x14ac:dyDescent="0.25">
      <c r="A306" s="6">
        <v>2280</v>
      </c>
      <c r="B306" t="s">
        <v>100</v>
      </c>
      <c r="C306">
        <v>142</v>
      </c>
      <c r="D306">
        <v>164</v>
      </c>
      <c r="E306">
        <v>3</v>
      </c>
      <c r="F306">
        <v>3</v>
      </c>
    </row>
    <row r="307" spans="1:6" ht="17" x14ac:dyDescent="0.25">
      <c r="A307" s="6">
        <v>2280</v>
      </c>
      <c r="B307" t="s">
        <v>122</v>
      </c>
      <c r="C307">
        <v>123</v>
      </c>
      <c r="D307">
        <v>158</v>
      </c>
      <c r="E307">
        <v>3</v>
      </c>
      <c r="F307">
        <v>3</v>
      </c>
    </row>
    <row r="308" spans="1:6" ht="17" x14ac:dyDescent="0.25">
      <c r="A308" s="6">
        <v>2280</v>
      </c>
      <c r="B308" t="s">
        <v>102</v>
      </c>
      <c r="C308">
        <v>82</v>
      </c>
      <c r="D308">
        <v>78</v>
      </c>
      <c r="E308">
        <v>3</v>
      </c>
      <c r="F308">
        <v>3</v>
      </c>
    </row>
    <row r="309" spans="1:6" ht="17" x14ac:dyDescent="0.25">
      <c r="A309" s="6">
        <v>2280</v>
      </c>
      <c r="B309" t="s">
        <v>123</v>
      </c>
      <c r="C309">
        <v>97</v>
      </c>
      <c r="D309">
        <v>75</v>
      </c>
      <c r="E309">
        <v>3</v>
      </c>
      <c r="F309">
        <v>3</v>
      </c>
    </row>
    <row r="310" spans="1:6" ht="17" x14ac:dyDescent="0.25">
      <c r="A310" s="6">
        <v>2328</v>
      </c>
      <c r="B310" t="s">
        <v>100</v>
      </c>
      <c r="C310">
        <v>116</v>
      </c>
      <c r="D310">
        <v>131</v>
      </c>
      <c r="E310">
        <v>3</v>
      </c>
      <c r="F310">
        <v>3</v>
      </c>
    </row>
    <row r="311" spans="1:6" ht="17" x14ac:dyDescent="0.25">
      <c r="A311" s="6">
        <v>2328</v>
      </c>
      <c r="B311" t="s">
        <v>122</v>
      </c>
      <c r="C311">
        <v>168</v>
      </c>
      <c r="D311">
        <v>118</v>
      </c>
      <c r="E311">
        <v>3</v>
      </c>
      <c r="F311">
        <v>3</v>
      </c>
    </row>
    <row r="312" spans="1:6" ht="17" x14ac:dyDescent="0.25">
      <c r="A312" s="6">
        <v>2328</v>
      </c>
      <c r="B312" t="s">
        <v>102</v>
      </c>
      <c r="C312">
        <v>86</v>
      </c>
      <c r="D312">
        <v>67</v>
      </c>
      <c r="E312">
        <v>3</v>
      </c>
      <c r="F312">
        <v>3</v>
      </c>
    </row>
    <row r="313" spans="1:6" ht="17" x14ac:dyDescent="0.25">
      <c r="A313" s="6">
        <v>2328</v>
      </c>
      <c r="B313" t="s">
        <v>123</v>
      </c>
      <c r="C313">
        <v>108</v>
      </c>
      <c r="D313">
        <v>108</v>
      </c>
      <c r="E313">
        <v>3</v>
      </c>
      <c r="F313">
        <v>3</v>
      </c>
    </row>
    <row r="314" spans="1:6" ht="17" x14ac:dyDescent="0.25">
      <c r="A314" s="6">
        <v>2376</v>
      </c>
      <c r="B314" t="s">
        <v>100</v>
      </c>
      <c r="C314">
        <v>135</v>
      </c>
      <c r="D314">
        <v>153</v>
      </c>
      <c r="E314">
        <v>3</v>
      </c>
      <c r="F314">
        <v>3</v>
      </c>
    </row>
    <row r="315" spans="1:6" ht="17" x14ac:dyDescent="0.25">
      <c r="A315" s="6">
        <v>2376</v>
      </c>
      <c r="B315" t="s">
        <v>122</v>
      </c>
      <c r="C315">
        <v>165</v>
      </c>
      <c r="D315">
        <v>119</v>
      </c>
      <c r="E315">
        <v>3</v>
      </c>
      <c r="F315">
        <v>3</v>
      </c>
    </row>
    <row r="316" spans="1:6" ht="17" x14ac:dyDescent="0.25">
      <c r="A316" s="6">
        <v>2376</v>
      </c>
      <c r="B316" t="s">
        <v>102</v>
      </c>
      <c r="C316">
        <v>79</v>
      </c>
      <c r="D316">
        <v>92</v>
      </c>
      <c r="E316">
        <v>3</v>
      </c>
      <c r="F316">
        <v>3</v>
      </c>
    </row>
    <row r="317" spans="1:6" ht="17" x14ac:dyDescent="0.25">
      <c r="A317" s="6">
        <v>2376</v>
      </c>
      <c r="B317" t="s">
        <v>123</v>
      </c>
      <c r="C317">
        <v>94</v>
      </c>
      <c r="D317">
        <v>98</v>
      </c>
      <c r="E317">
        <v>3</v>
      </c>
      <c r="F317">
        <v>3</v>
      </c>
    </row>
    <row r="318" spans="1:6" ht="17" x14ac:dyDescent="0.25">
      <c r="A318" s="6">
        <v>2424</v>
      </c>
      <c r="B318" t="s">
        <v>100</v>
      </c>
      <c r="C318">
        <v>170</v>
      </c>
      <c r="D318">
        <v>130</v>
      </c>
      <c r="E318">
        <v>3</v>
      </c>
      <c r="F318">
        <v>3</v>
      </c>
    </row>
    <row r="319" spans="1:6" ht="17" x14ac:dyDescent="0.25">
      <c r="A319" s="6">
        <v>2424</v>
      </c>
      <c r="B319" t="s">
        <v>122</v>
      </c>
      <c r="C319">
        <v>189</v>
      </c>
      <c r="D319">
        <v>166</v>
      </c>
      <c r="E319">
        <v>3</v>
      </c>
      <c r="F319">
        <v>3</v>
      </c>
    </row>
    <row r="320" spans="1:6" ht="17" x14ac:dyDescent="0.25">
      <c r="A320" s="6">
        <v>2424</v>
      </c>
      <c r="B320" t="s">
        <v>102</v>
      </c>
      <c r="C320">
        <v>105</v>
      </c>
      <c r="D320">
        <v>69</v>
      </c>
      <c r="E320">
        <v>3</v>
      </c>
      <c r="F320">
        <v>3</v>
      </c>
    </row>
    <row r="321" spans="1:6" ht="17" x14ac:dyDescent="0.25">
      <c r="A321" s="6">
        <v>2424</v>
      </c>
      <c r="B321" t="s">
        <v>123</v>
      </c>
      <c r="C321">
        <v>105</v>
      </c>
      <c r="D321">
        <v>106</v>
      </c>
      <c r="E321">
        <v>3</v>
      </c>
      <c r="F321">
        <v>3</v>
      </c>
    </row>
    <row r="322" spans="1:6" ht="17" x14ac:dyDescent="0.25">
      <c r="A322" s="6">
        <v>2472</v>
      </c>
      <c r="B322" t="s">
        <v>100</v>
      </c>
      <c r="C322">
        <v>171</v>
      </c>
      <c r="D322">
        <v>148</v>
      </c>
      <c r="E322">
        <v>3</v>
      </c>
      <c r="F322">
        <v>3</v>
      </c>
    </row>
    <row r="323" spans="1:6" ht="17" x14ac:dyDescent="0.25">
      <c r="A323" s="6">
        <v>2472</v>
      </c>
      <c r="B323" t="s">
        <v>122</v>
      </c>
      <c r="C323">
        <v>137</v>
      </c>
      <c r="D323">
        <v>116</v>
      </c>
      <c r="E323">
        <v>3</v>
      </c>
      <c r="F323">
        <v>3</v>
      </c>
    </row>
    <row r="324" spans="1:6" ht="17" x14ac:dyDescent="0.25">
      <c r="A324" s="6">
        <v>2472</v>
      </c>
      <c r="B324" t="s">
        <v>102</v>
      </c>
      <c r="C324">
        <v>90</v>
      </c>
      <c r="D324">
        <v>77</v>
      </c>
      <c r="E324">
        <v>3</v>
      </c>
      <c r="F324">
        <v>3</v>
      </c>
    </row>
    <row r="325" spans="1:6" ht="17" x14ac:dyDescent="0.25">
      <c r="A325" s="6">
        <v>2472</v>
      </c>
      <c r="B325" t="s">
        <v>123</v>
      </c>
      <c r="C325">
        <v>91</v>
      </c>
      <c r="D325">
        <v>85</v>
      </c>
      <c r="E325">
        <v>3</v>
      </c>
      <c r="F325">
        <v>3</v>
      </c>
    </row>
    <row r="326" spans="1:6" ht="17" x14ac:dyDescent="0.25">
      <c r="A326" s="6">
        <v>2520</v>
      </c>
      <c r="B326" t="s">
        <v>100</v>
      </c>
      <c r="C326">
        <v>161</v>
      </c>
      <c r="D326">
        <v>153</v>
      </c>
      <c r="E326">
        <v>3</v>
      </c>
      <c r="F326">
        <v>3</v>
      </c>
    </row>
    <row r="327" spans="1:6" ht="17" x14ac:dyDescent="0.25">
      <c r="A327" s="6">
        <v>2520</v>
      </c>
      <c r="B327" t="s">
        <v>122</v>
      </c>
      <c r="C327">
        <v>172</v>
      </c>
      <c r="D327">
        <v>111</v>
      </c>
      <c r="E327">
        <v>3</v>
      </c>
      <c r="F327">
        <v>3</v>
      </c>
    </row>
    <row r="328" spans="1:6" ht="17" x14ac:dyDescent="0.25">
      <c r="A328" s="6">
        <v>2520</v>
      </c>
      <c r="B328" t="s">
        <v>102</v>
      </c>
      <c r="C328">
        <v>82</v>
      </c>
      <c r="D328">
        <v>104</v>
      </c>
      <c r="E328">
        <v>3</v>
      </c>
      <c r="F328">
        <v>3</v>
      </c>
    </row>
    <row r="329" spans="1:6" ht="17" x14ac:dyDescent="0.25">
      <c r="A329" s="6">
        <v>2520</v>
      </c>
      <c r="B329" t="s">
        <v>123</v>
      </c>
      <c r="C329">
        <v>100</v>
      </c>
      <c r="D329">
        <v>102</v>
      </c>
      <c r="E329">
        <v>3</v>
      </c>
      <c r="F329">
        <v>3</v>
      </c>
    </row>
    <row r="330" spans="1:6" ht="17" x14ac:dyDescent="0.25">
      <c r="A330" s="6">
        <v>2568</v>
      </c>
      <c r="B330" t="s">
        <v>100</v>
      </c>
      <c r="C330">
        <v>146</v>
      </c>
      <c r="D330">
        <v>105</v>
      </c>
      <c r="E330">
        <v>3</v>
      </c>
      <c r="F330">
        <v>3</v>
      </c>
    </row>
    <row r="331" spans="1:6" ht="17" x14ac:dyDescent="0.25">
      <c r="A331" s="6">
        <v>2568</v>
      </c>
      <c r="B331" t="s">
        <v>122</v>
      </c>
      <c r="C331">
        <v>158</v>
      </c>
      <c r="D331">
        <v>114</v>
      </c>
      <c r="E331">
        <v>3</v>
      </c>
      <c r="F331">
        <v>3</v>
      </c>
    </row>
    <row r="332" spans="1:6" ht="17" x14ac:dyDescent="0.25">
      <c r="A332" s="6">
        <v>2568</v>
      </c>
      <c r="B332" t="s">
        <v>102</v>
      </c>
      <c r="C332">
        <v>95</v>
      </c>
      <c r="D332">
        <v>66</v>
      </c>
      <c r="E332">
        <v>3</v>
      </c>
      <c r="F332">
        <v>3</v>
      </c>
    </row>
    <row r="333" spans="1:6" ht="17" x14ac:dyDescent="0.25">
      <c r="A333" s="6">
        <v>2568</v>
      </c>
      <c r="B333" t="s">
        <v>123</v>
      </c>
      <c r="C333">
        <v>97</v>
      </c>
      <c r="D333">
        <v>97</v>
      </c>
      <c r="E333">
        <v>3</v>
      </c>
      <c r="F333">
        <v>3</v>
      </c>
    </row>
    <row r="334" spans="1:6" ht="17" x14ac:dyDescent="0.25">
      <c r="A334" s="6">
        <v>2616</v>
      </c>
      <c r="B334" t="s">
        <v>100</v>
      </c>
      <c r="C334">
        <v>147</v>
      </c>
      <c r="D334">
        <v>133</v>
      </c>
      <c r="E334">
        <v>3</v>
      </c>
      <c r="F334">
        <v>3</v>
      </c>
    </row>
    <row r="335" spans="1:6" ht="17" x14ac:dyDescent="0.25">
      <c r="A335" s="6">
        <v>2616</v>
      </c>
      <c r="B335" t="s">
        <v>122</v>
      </c>
      <c r="C335">
        <v>141</v>
      </c>
      <c r="D335">
        <v>118</v>
      </c>
      <c r="E335">
        <v>3</v>
      </c>
      <c r="F335">
        <v>3</v>
      </c>
    </row>
    <row r="336" spans="1:6" ht="17" x14ac:dyDescent="0.25">
      <c r="A336" s="6">
        <v>2616</v>
      </c>
      <c r="B336" t="s">
        <v>102</v>
      </c>
      <c r="C336">
        <v>77</v>
      </c>
      <c r="D336">
        <v>77</v>
      </c>
      <c r="E336">
        <v>3</v>
      </c>
      <c r="F336">
        <v>3</v>
      </c>
    </row>
    <row r="337" spans="1:6" ht="17" x14ac:dyDescent="0.25">
      <c r="A337" s="6">
        <v>2616</v>
      </c>
      <c r="B337" t="s">
        <v>123</v>
      </c>
      <c r="C337">
        <v>107</v>
      </c>
      <c r="D337">
        <v>105</v>
      </c>
      <c r="E337">
        <v>3</v>
      </c>
      <c r="F337">
        <v>3</v>
      </c>
    </row>
    <row r="338" spans="1:6" ht="17" x14ac:dyDescent="0.25">
      <c r="A338" s="6">
        <v>2664</v>
      </c>
      <c r="B338" t="s">
        <v>100</v>
      </c>
      <c r="C338">
        <v>167</v>
      </c>
      <c r="D338">
        <v>129</v>
      </c>
      <c r="E338">
        <v>3</v>
      </c>
      <c r="F338">
        <v>3</v>
      </c>
    </row>
    <row r="339" spans="1:6" ht="17" x14ac:dyDescent="0.25">
      <c r="A339" s="6">
        <v>2664</v>
      </c>
      <c r="B339" t="s">
        <v>122</v>
      </c>
      <c r="C339">
        <v>134</v>
      </c>
      <c r="D339">
        <v>134</v>
      </c>
      <c r="E339">
        <v>3</v>
      </c>
      <c r="F339">
        <v>3</v>
      </c>
    </row>
    <row r="340" spans="1:6" ht="17" x14ac:dyDescent="0.25">
      <c r="A340" s="6">
        <v>2664</v>
      </c>
      <c r="B340" t="s">
        <v>102</v>
      </c>
      <c r="C340">
        <v>73</v>
      </c>
      <c r="D340">
        <v>69</v>
      </c>
      <c r="E340">
        <v>3</v>
      </c>
      <c r="F340">
        <v>3</v>
      </c>
    </row>
    <row r="341" spans="1:6" ht="17" x14ac:dyDescent="0.25">
      <c r="A341" s="6">
        <v>2664</v>
      </c>
      <c r="B341" t="s">
        <v>123</v>
      </c>
      <c r="C341">
        <v>114</v>
      </c>
      <c r="D341">
        <v>96</v>
      </c>
      <c r="E341">
        <v>3</v>
      </c>
      <c r="F341">
        <v>3</v>
      </c>
    </row>
    <row r="342" spans="1:6" ht="17" x14ac:dyDescent="0.25">
      <c r="A342" s="6">
        <v>2712</v>
      </c>
      <c r="B342" t="s">
        <v>100</v>
      </c>
      <c r="C342">
        <v>160</v>
      </c>
      <c r="D342">
        <v>111</v>
      </c>
      <c r="E342">
        <v>3</v>
      </c>
      <c r="F342">
        <v>3</v>
      </c>
    </row>
    <row r="343" spans="1:6" ht="17" x14ac:dyDescent="0.25">
      <c r="A343" s="6">
        <v>2712</v>
      </c>
      <c r="B343" t="s">
        <v>122</v>
      </c>
      <c r="C343">
        <v>130</v>
      </c>
      <c r="D343">
        <v>134</v>
      </c>
      <c r="E343">
        <v>3</v>
      </c>
      <c r="F343">
        <v>3</v>
      </c>
    </row>
    <row r="344" spans="1:6" ht="17" x14ac:dyDescent="0.25">
      <c r="A344" s="6">
        <v>2712</v>
      </c>
      <c r="B344" t="s">
        <v>102</v>
      </c>
      <c r="C344">
        <v>87</v>
      </c>
      <c r="D344">
        <v>86</v>
      </c>
      <c r="E344">
        <v>3</v>
      </c>
      <c r="F344">
        <v>3</v>
      </c>
    </row>
    <row r="345" spans="1:6" ht="17" x14ac:dyDescent="0.25">
      <c r="A345" s="6">
        <v>2712</v>
      </c>
      <c r="B345" t="s">
        <v>123</v>
      </c>
      <c r="C345">
        <v>87</v>
      </c>
      <c r="D345">
        <v>84</v>
      </c>
      <c r="E345">
        <v>3</v>
      </c>
      <c r="F345">
        <v>3</v>
      </c>
    </row>
    <row r="346" spans="1:6" ht="17" x14ac:dyDescent="0.25">
      <c r="A346" s="6">
        <v>2760</v>
      </c>
      <c r="B346" t="s">
        <v>100</v>
      </c>
      <c r="C346">
        <v>151</v>
      </c>
      <c r="D346">
        <v>137</v>
      </c>
      <c r="E346">
        <v>3</v>
      </c>
      <c r="F346">
        <v>3</v>
      </c>
    </row>
    <row r="347" spans="1:6" ht="17" x14ac:dyDescent="0.25">
      <c r="A347" s="6">
        <v>2760</v>
      </c>
      <c r="B347" t="s">
        <v>122</v>
      </c>
      <c r="C347">
        <v>138</v>
      </c>
      <c r="D347">
        <v>149</v>
      </c>
      <c r="E347">
        <v>3</v>
      </c>
      <c r="F347">
        <v>3</v>
      </c>
    </row>
    <row r="348" spans="1:6" ht="17" x14ac:dyDescent="0.25">
      <c r="A348" s="6">
        <v>2760</v>
      </c>
      <c r="B348" t="s">
        <v>102</v>
      </c>
      <c r="C348">
        <v>81</v>
      </c>
      <c r="D348">
        <v>84</v>
      </c>
      <c r="E348">
        <v>3</v>
      </c>
      <c r="F348">
        <v>3</v>
      </c>
    </row>
    <row r="349" spans="1:6" ht="17" x14ac:dyDescent="0.25">
      <c r="A349" s="6">
        <v>2760</v>
      </c>
      <c r="B349" t="s">
        <v>123</v>
      </c>
      <c r="C349">
        <v>93</v>
      </c>
      <c r="D349">
        <v>70</v>
      </c>
      <c r="E349">
        <v>3</v>
      </c>
      <c r="F349">
        <v>3</v>
      </c>
    </row>
    <row r="350" spans="1:6" ht="17" x14ac:dyDescent="0.25">
      <c r="A350" s="6">
        <v>2808</v>
      </c>
      <c r="B350" t="s">
        <v>100</v>
      </c>
      <c r="C350">
        <v>153</v>
      </c>
      <c r="D350">
        <v>88</v>
      </c>
      <c r="E350">
        <v>3</v>
      </c>
      <c r="F350">
        <v>3</v>
      </c>
    </row>
    <row r="351" spans="1:6" ht="17" x14ac:dyDescent="0.25">
      <c r="A351" s="6">
        <v>2808</v>
      </c>
      <c r="B351" t="s">
        <v>122</v>
      </c>
      <c r="C351">
        <v>145</v>
      </c>
      <c r="D351">
        <v>105</v>
      </c>
      <c r="E351">
        <v>3</v>
      </c>
      <c r="F351">
        <v>3</v>
      </c>
    </row>
    <row r="352" spans="1:6" ht="17" x14ac:dyDescent="0.25">
      <c r="A352" s="6">
        <v>2808</v>
      </c>
      <c r="B352" t="s">
        <v>102</v>
      </c>
      <c r="C352">
        <v>73</v>
      </c>
      <c r="D352">
        <v>54</v>
      </c>
      <c r="E352">
        <v>3</v>
      </c>
      <c r="F352">
        <v>3</v>
      </c>
    </row>
    <row r="353" spans="1:6" ht="17" x14ac:dyDescent="0.25">
      <c r="A353" s="6">
        <v>2808</v>
      </c>
      <c r="B353" t="s">
        <v>123</v>
      </c>
      <c r="C353">
        <v>84</v>
      </c>
      <c r="D353">
        <v>83</v>
      </c>
      <c r="E353">
        <v>3</v>
      </c>
      <c r="F353">
        <v>3</v>
      </c>
    </row>
    <row r="354" spans="1:6" ht="17" x14ac:dyDescent="0.25">
      <c r="A354" s="6">
        <v>2856</v>
      </c>
      <c r="B354" t="s">
        <v>100</v>
      </c>
      <c r="C354">
        <v>180</v>
      </c>
      <c r="D354">
        <v>119</v>
      </c>
      <c r="E354">
        <v>3</v>
      </c>
      <c r="F354">
        <v>3</v>
      </c>
    </row>
    <row r="355" spans="1:6" ht="17" x14ac:dyDescent="0.25">
      <c r="A355" s="6">
        <v>2856</v>
      </c>
      <c r="B355" t="s">
        <v>122</v>
      </c>
      <c r="C355">
        <v>124</v>
      </c>
      <c r="D355">
        <v>119</v>
      </c>
      <c r="E355">
        <v>3</v>
      </c>
      <c r="F355">
        <v>3</v>
      </c>
    </row>
    <row r="356" spans="1:6" ht="17" x14ac:dyDescent="0.25">
      <c r="A356" s="6">
        <v>2856</v>
      </c>
      <c r="B356" t="s">
        <v>102</v>
      </c>
      <c r="C356">
        <v>93</v>
      </c>
      <c r="D356">
        <v>83</v>
      </c>
      <c r="E356">
        <v>3</v>
      </c>
      <c r="F356">
        <v>3</v>
      </c>
    </row>
    <row r="357" spans="1:6" ht="17" x14ac:dyDescent="0.25">
      <c r="A357" s="6">
        <v>2856</v>
      </c>
      <c r="B357" t="s">
        <v>123</v>
      </c>
      <c r="C357">
        <v>89</v>
      </c>
      <c r="D357">
        <v>89</v>
      </c>
      <c r="E357">
        <v>3</v>
      </c>
      <c r="F357">
        <v>3</v>
      </c>
    </row>
    <row r="358" spans="1:6" ht="17" x14ac:dyDescent="0.25">
      <c r="A358" s="6">
        <v>2904</v>
      </c>
      <c r="B358" t="s">
        <v>100</v>
      </c>
      <c r="C358">
        <v>162</v>
      </c>
      <c r="D358">
        <v>106</v>
      </c>
      <c r="E358">
        <v>3</v>
      </c>
      <c r="F358">
        <v>3</v>
      </c>
    </row>
    <row r="359" spans="1:6" ht="17" x14ac:dyDescent="0.25">
      <c r="A359" s="6">
        <v>2904</v>
      </c>
      <c r="B359" t="s">
        <v>122</v>
      </c>
      <c r="C359">
        <v>137</v>
      </c>
      <c r="D359">
        <v>123</v>
      </c>
      <c r="E359">
        <v>3</v>
      </c>
      <c r="F359">
        <v>3</v>
      </c>
    </row>
    <row r="360" spans="1:6" ht="17" x14ac:dyDescent="0.25">
      <c r="A360" s="6">
        <v>2904</v>
      </c>
      <c r="B360" t="s">
        <v>102</v>
      </c>
      <c r="C360">
        <v>85</v>
      </c>
      <c r="D360">
        <v>71</v>
      </c>
      <c r="E360">
        <v>3</v>
      </c>
      <c r="F360">
        <v>3</v>
      </c>
    </row>
    <row r="361" spans="1:6" ht="17" x14ac:dyDescent="0.25">
      <c r="A361" s="6">
        <v>2904</v>
      </c>
      <c r="B361" t="s">
        <v>123</v>
      </c>
      <c r="C361">
        <v>109</v>
      </c>
      <c r="D361">
        <v>99</v>
      </c>
      <c r="E361">
        <v>3</v>
      </c>
      <c r="F361">
        <v>3</v>
      </c>
    </row>
    <row r="362" spans="1:6" ht="17" x14ac:dyDescent="0.25">
      <c r="A362" s="6">
        <v>2952</v>
      </c>
      <c r="B362" t="s">
        <v>100</v>
      </c>
      <c r="C362">
        <v>118</v>
      </c>
      <c r="D362">
        <v>124</v>
      </c>
      <c r="E362">
        <v>3</v>
      </c>
      <c r="F362">
        <v>3</v>
      </c>
    </row>
    <row r="363" spans="1:6" ht="17" x14ac:dyDescent="0.25">
      <c r="A363" s="6">
        <v>2952</v>
      </c>
      <c r="B363" t="s">
        <v>122</v>
      </c>
      <c r="C363">
        <v>148</v>
      </c>
      <c r="D363">
        <v>106</v>
      </c>
      <c r="E363">
        <v>3</v>
      </c>
      <c r="F363">
        <v>3</v>
      </c>
    </row>
    <row r="364" spans="1:6" ht="17" x14ac:dyDescent="0.25">
      <c r="A364" s="6">
        <v>2952</v>
      </c>
      <c r="B364" t="s">
        <v>102</v>
      </c>
      <c r="C364">
        <v>86</v>
      </c>
      <c r="D364">
        <v>68</v>
      </c>
      <c r="E364">
        <v>3</v>
      </c>
      <c r="F364">
        <v>3</v>
      </c>
    </row>
    <row r="365" spans="1:6" ht="17" x14ac:dyDescent="0.25">
      <c r="A365" s="6">
        <v>2952</v>
      </c>
      <c r="B365" t="s">
        <v>123</v>
      </c>
      <c r="C365">
        <v>81</v>
      </c>
      <c r="D365">
        <v>72</v>
      </c>
      <c r="E365">
        <v>3</v>
      </c>
      <c r="F365">
        <v>3</v>
      </c>
    </row>
    <row r="366" spans="1:6" ht="17" x14ac:dyDescent="0.25">
      <c r="A366" s="6">
        <v>3000</v>
      </c>
      <c r="B366" t="s">
        <v>100</v>
      </c>
      <c r="C366">
        <v>145</v>
      </c>
      <c r="D366">
        <v>118</v>
      </c>
      <c r="E366">
        <v>3</v>
      </c>
      <c r="F366">
        <v>3</v>
      </c>
    </row>
    <row r="367" spans="1:6" ht="17" x14ac:dyDescent="0.25">
      <c r="A367" s="6">
        <v>3000</v>
      </c>
      <c r="B367" t="s">
        <v>122</v>
      </c>
      <c r="C367">
        <v>182</v>
      </c>
      <c r="D367">
        <v>138</v>
      </c>
      <c r="E367">
        <v>3</v>
      </c>
      <c r="F367">
        <v>3</v>
      </c>
    </row>
    <row r="368" spans="1:6" ht="17" x14ac:dyDescent="0.25">
      <c r="A368" s="6">
        <v>3000</v>
      </c>
      <c r="B368" t="s">
        <v>102</v>
      </c>
      <c r="C368">
        <v>103</v>
      </c>
      <c r="D368">
        <v>54</v>
      </c>
      <c r="E368">
        <v>3</v>
      </c>
      <c r="F368">
        <v>3</v>
      </c>
    </row>
    <row r="369" spans="1:6" ht="17" x14ac:dyDescent="0.25">
      <c r="A369" s="6">
        <v>3000</v>
      </c>
      <c r="B369" t="s">
        <v>123</v>
      </c>
      <c r="C369">
        <v>93</v>
      </c>
      <c r="D369">
        <v>82</v>
      </c>
      <c r="E369">
        <v>3</v>
      </c>
      <c r="F369">
        <v>3</v>
      </c>
    </row>
    <row r="370" spans="1:6" ht="17" x14ac:dyDescent="0.25">
      <c r="A370" s="6">
        <v>3048</v>
      </c>
      <c r="B370" t="s">
        <v>100</v>
      </c>
      <c r="C370">
        <v>165</v>
      </c>
      <c r="D370">
        <v>132</v>
      </c>
      <c r="E370">
        <v>3</v>
      </c>
      <c r="F370">
        <v>3</v>
      </c>
    </row>
    <row r="371" spans="1:6" ht="17" x14ac:dyDescent="0.25">
      <c r="A371" s="6">
        <v>3048</v>
      </c>
      <c r="B371" t="s">
        <v>122</v>
      </c>
      <c r="C371">
        <v>167</v>
      </c>
      <c r="D371">
        <v>116</v>
      </c>
      <c r="E371">
        <v>3</v>
      </c>
      <c r="F371">
        <v>3</v>
      </c>
    </row>
    <row r="372" spans="1:6" ht="17" x14ac:dyDescent="0.25">
      <c r="A372" s="6">
        <v>3048</v>
      </c>
      <c r="B372" t="s">
        <v>102</v>
      </c>
      <c r="C372">
        <v>79</v>
      </c>
      <c r="D372">
        <v>54</v>
      </c>
      <c r="E372">
        <v>3</v>
      </c>
      <c r="F372">
        <v>3</v>
      </c>
    </row>
    <row r="373" spans="1:6" ht="17" x14ac:dyDescent="0.25">
      <c r="A373" s="6">
        <v>3048</v>
      </c>
      <c r="B373" t="s">
        <v>123</v>
      </c>
      <c r="C373">
        <v>103</v>
      </c>
      <c r="D373">
        <v>75</v>
      </c>
      <c r="E373">
        <v>3</v>
      </c>
      <c r="F373">
        <v>3</v>
      </c>
    </row>
    <row r="374" spans="1:6" ht="17" x14ac:dyDescent="0.25">
      <c r="A374" s="6">
        <v>3096</v>
      </c>
      <c r="B374" t="s">
        <v>100</v>
      </c>
      <c r="C374">
        <v>165</v>
      </c>
      <c r="D374">
        <v>116</v>
      </c>
      <c r="E374">
        <v>3</v>
      </c>
      <c r="F374">
        <v>3</v>
      </c>
    </row>
    <row r="375" spans="1:6" ht="17" x14ac:dyDescent="0.25">
      <c r="A375" s="6">
        <v>3096</v>
      </c>
      <c r="B375" t="s">
        <v>122</v>
      </c>
      <c r="C375">
        <v>150</v>
      </c>
      <c r="D375">
        <v>112</v>
      </c>
      <c r="E375">
        <v>3</v>
      </c>
      <c r="F375">
        <v>3</v>
      </c>
    </row>
    <row r="376" spans="1:6" ht="17" x14ac:dyDescent="0.25">
      <c r="A376" s="6">
        <v>3096</v>
      </c>
      <c r="B376" t="s">
        <v>102</v>
      </c>
      <c r="C376">
        <v>72</v>
      </c>
      <c r="D376">
        <v>63</v>
      </c>
      <c r="E376">
        <v>3</v>
      </c>
      <c r="F376">
        <v>3</v>
      </c>
    </row>
    <row r="377" spans="1:6" ht="17" x14ac:dyDescent="0.25">
      <c r="A377" s="6">
        <v>3096</v>
      </c>
      <c r="B377" t="s">
        <v>123</v>
      </c>
      <c r="C377">
        <v>111</v>
      </c>
      <c r="D377">
        <v>76</v>
      </c>
      <c r="E377">
        <v>3</v>
      </c>
      <c r="F377">
        <v>3</v>
      </c>
    </row>
    <row r="378" spans="1:6" ht="17" x14ac:dyDescent="0.25">
      <c r="A378" s="6">
        <v>3144</v>
      </c>
      <c r="B378" t="s">
        <v>100</v>
      </c>
      <c r="C378">
        <v>153</v>
      </c>
      <c r="D378">
        <v>112</v>
      </c>
      <c r="E378">
        <v>3</v>
      </c>
      <c r="F378">
        <v>3</v>
      </c>
    </row>
    <row r="379" spans="1:6" ht="17" x14ac:dyDescent="0.25">
      <c r="A379" s="6">
        <v>3144</v>
      </c>
      <c r="B379" t="s">
        <v>122</v>
      </c>
      <c r="C379">
        <v>164</v>
      </c>
      <c r="D379">
        <v>114</v>
      </c>
      <c r="E379">
        <v>3</v>
      </c>
      <c r="F379">
        <v>3</v>
      </c>
    </row>
    <row r="380" spans="1:6" ht="17" x14ac:dyDescent="0.25">
      <c r="A380" s="6">
        <v>3144</v>
      </c>
      <c r="B380" t="s">
        <v>102</v>
      </c>
      <c r="C380">
        <v>118</v>
      </c>
      <c r="D380">
        <v>73</v>
      </c>
      <c r="E380">
        <v>3</v>
      </c>
      <c r="F380">
        <v>3</v>
      </c>
    </row>
    <row r="381" spans="1:6" ht="17" x14ac:dyDescent="0.25">
      <c r="A381" s="6">
        <v>3144</v>
      </c>
      <c r="B381" t="s">
        <v>123</v>
      </c>
      <c r="C381">
        <v>119</v>
      </c>
      <c r="D381">
        <v>84</v>
      </c>
      <c r="E381">
        <v>3</v>
      </c>
      <c r="F381">
        <v>3</v>
      </c>
    </row>
    <row r="382" spans="1:6" ht="17" x14ac:dyDescent="0.25">
      <c r="A382" s="6">
        <v>3192</v>
      </c>
      <c r="B382" t="s">
        <v>100</v>
      </c>
      <c r="C382">
        <v>166</v>
      </c>
      <c r="D382">
        <v>108</v>
      </c>
      <c r="E382">
        <v>3</v>
      </c>
      <c r="F382">
        <v>3</v>
      </c>
    </row>
    <row r="383" spans="1:6" ht="17" x14ac:dyDescent="0.25">
      <c r="A383" s="6">
        <v>3192</v>
      </c>
      <c r="B383" t="s">
        <v>122</v>
      </c>
      <c r="C383">
        <v>199</v>
      </c>
      <c r="D383">
        <v>107</v>
      </c>
      <c r="E383">
        <v>3</v>
      </c>
      <c r="F383">
        <v>3</v>
      </c>
    </row>
    <row r="384" spans="1:6" ht="17" x14ac:dyDescent="0.25">
      <c r="A384" s="6">
        <v>3192</v>
      </c>
      <c r="B384" t="s">
        <v>102</v>
      </c>
      <c r="C384">
        <v>106</v>
      </c>
      <c r="D384">
        <v>72</v>
      </c>
      <c r="E384">
        <v>3</v>
      </c>
      <c r="F384">
        <v>3</v>
      </c>
    </row>
    <row r="385" spans="1:6" ht="17" x14ac:dyDescent="0.25">
      <c r="A385" s="6">
        <v>3192</v>
      </c>
      <c r="B385" t="s">
        <v>123</v>
      </c>
      <c r="C385">
        <v>91</v>
      </c>
      <c r="D385">
        <v>89</v>
      </c>
      <c r="E385">
        <v>3</v>
      </c>
      <c r="F385">
        <v>3</v>
      </c>
    </row>
    <row r="386" spans="1:6" ht="17" x14ac:dyDescent="0.25">
      <c r="A386" s="6">
        <v>3240</v>
      </c>
      <c r="B386" t="s">
        <v>100</v>
      </c>
      <c r="C386">
        <v>146</v>
      </c>
      <c r="D386">
        <v>110</v>
      </c>
      <c r="E386">
        <v>3</v>
      </c>
      <c r="F386">
        <v>3</v>
      </c>
    </row>
    <row r="387" spans="1:6" ht="17" x14ac:dyDescent="0.25">
      <c r="A387" s="6">
        <v>3240</v>
      </c>
      <c r="B387" t="s">
        <v>122</v>
      </c>
      <c r="C387">
        <v>173</v>
      </c>
      <c r="D387">
        <v>143</v>
      </c>
      <c r="E387">
        <v>3</v>
      </c>
      <c r="F387">
        <v>3</v>
      </c>
    </row>
    <row r="388" spans="1:6" ht="17" x14ac:dyDescent="0.25">
      <c r="A388" s="6">
        <v>3240</v>
      </c>
      <c r="B388" t="s">
        <v>102</v>
      </c>
      <c r="C388">
        <v>86</v>
      </c>
      <c r="D388">
        <v>66</v>
      </c>
      <c r="E388">
        <v>3</v>
      </c>
      <c r="F388">
        <v>3</v>
      </c>
    </row>
    <row r="389" spans="1:6" ht="17" x14ac:dyDescent="0.25">
      <c r="A389" s="6">
        <v>3240</v>
      </c>
      <c r="B389" t="s">
        <v>123</v>
      </c>
      <c r="C389">
        <v>84</v>
      </c>
      <c r="D389">
        <v>76</v>
      </c>
      <c r="E389">
        <v>3</v>
      </c>
      <c r="F389">
        <v>3</v>
      </c>
    </row>
    <row r="390" spans="1:6" ht="17" x14ac:dyDescent="0.25">
      <c r="A390" s="6">
        <v>3288</v>
      </c>
      <c r="B390" t="s">
        <v>100</v>
      </c>
      <c r="C390">
        <v>140</v>
      </c>
      <c r="D390">
        <v>118</v>
      </c>
      <c r="E390">
        <v>3</v>
      </c>
      <c r="F390">
        <v>3</v>
      </c>
    </row>
    <row r="391" spans="1:6" ht="17" x14ac:dyDescent="0.25">
      <c r="A391" s="6">
        <v>3288</v>
      </c>
      <c r="B391" t="s">
        <v>122</v>
      </c>
      <c r="C391">
        <v>172</v>
      </c>
      <c r="D391">
        <v>108</v>
      </c>
      <c r="E391">
        <v>3</v>
      </c>
      <c r="F391">
        <v>3</v>
      </c>
    </row>
    <row r="392" spans="1:6" ht="17" x14ac:dyDescent="0.25">
      <c r="A392" s="6">
        <v>3288</v>
      </c>
      <c r="B392" t="s">
        <v>102</v>
      </c>
      <c r="C392">
        <v>90</v>
      </c>
      <c r="D392">
        <v>61</v>
      </c>
      <c r="E392">
        <v>3</v>
      </c>
      <c r="F392">
        <v>3</v>
      </c>
    </row>
    <row r="393" spans="1:6" ht="17" x14ac:dyDescent="0.25">
      <c r="A393" s="6">
        <v>3288</v>
      </c>
      <c r="B393" t="s">
        <v>123</v>
      </c>
      <c r="C393">
        <v>112</v>
      </c>
      <c r="D393">
        <v>96</v>
      </c>
      <c r="E393">
        <v>3</v>
      </c>
      <c r="F393">
        <v>3</v>
      </c>
    </row>
    <row r="394" spans="1:6" ht="17" x14ac:dyDescent="0.25">
      <c r="A394" s="6">
        <v>3336</v>
      </c>
      <c r="B394" t="s">
        <v>100</v>
      </c>
      <c r="C394">
        <v>160</v>
      </c>
      <c r="D394">
        <v>95</v>
      </c>
      <c r="E394">
        <v>3</v>
      </c>
      <c r="F394">
        <v>3</v>
      </c>
    </row>
    <row r="395" spans="1:6" ht="17" x14ac:dyDescent="0.25">
      <c r="A395" s="6">
        <v>3336</v>
      </c>
      <c r="B395" t="s">
        <v>122</v>
      </c>
      <c r="C395">
        <v>151</v>
      </c>
      <c r="D395">
        <v>93</v>
      </c>
      <c r="E395">
        <v>3</v>
      </c>
      <c r="F395">
        <v>3</v>
      </c>
    </row>
    <row r="396" spans="1:6" ht="17" x14ac:dyDescent="0.25">
      <c r="A396" s="6">
        <v>3336</v>
      </c>
      <c r="B396" t="s">
        <v>102</v>
      </c>
      <c r="C396">
        <v>78</v>
      </c>
      <c r="D396">
        <v>55</v>
      </c>
      <c r="E396">
        <v>3</v>
      </c>
      <c r="F396">
        <v>3</v>
      </c>
    </row>
    <row r="397" spans="1:6" ht="17" x14ac:dyDescent="0.25">
      <c r="A397" s="6">
        <v>3336</v>
      </c>
      <c r="B397" t="s">
        <v>123</v>
      </c>
      <c r="C397">
        <v>89</v>
      </c>
      <c r="D397">
        <v>72</v>
      </c>
      <c r="E397">
        <v>3</v>
      </c>
      <c r="F397">
        <v>3</v>
      </c>
    </row>
    <row r="398" spans="1:6" ht="17" x14ac:dyDescent="0.25">
      <c r="A398" s="6">
        <v>3384</v>
      </c>
      <c r="B398" t="s">
        <v>100</v>
      </c>
      <c r="C398">
        <v>124</v>
      </c>
      <c r="D398">
        <v>98</v>
      </c>
      <c r="E398">
        <v>3</v>
      </c>
      <c r="F398">
        <v>3</v>
      </c>
    </row>
    <row r="399" spans="1:6" ht="17" x14ac:dyDescent="0.25">
      <c r="A399" s="6">
        <v>3384</v>
      </c>
      <c r="B399" t="s">
        <v>122</v>
      </c>
      <c r="C399">
        <v>142</v>
      </c>
      <c r="D399">
        <v>76</v>
      </c>
      <c r="E399">
        <v>3</v>
      </c>
      <c r="F399">
        <v>3</v>
      </c>
    </row>
    <row r="400" spans="1:6" ht="17" x14ac:dyDescent="0.25">
      <c r="A400" s="6">
        <v>3384</v>
      </c>
      <c r="B400" t="s">
        <v>102</v>
      </c>
      <c r="C400">
        <v>69</v>
      </c>
      <c r="D400">
        <v>48</v>
      </c>
      <c r="E400">
        <v>3</v>
      </c>
      <c r="F400">
        <v>3</v>
      </c>
    </row>
    <row r="401" spans="1:6" ht="17" x14ac:dyDescent="0.25">
      <c r="A401" s="6">
        <v>3384</v>
      </c>
      <c r="B401" t="s">
        <v>123</v>
      </c>
      <c r="C401">
        <v>81</v>
      </c>
      <c r="D401">
        <v>55</v>
      </c>
      <c r="E401">
        <v>3</v>
      </c>
      <c r="F401">
        <v>3</v>
      </c>
    </row>
    <row r="402" spans="1:6" ht="17" x14ac:dyDescent="0.25">
      <c r="A402" s="6">
        <v>3432</v>
      </c>
      <c r="B402" t="s">
        <v>100</v>
      </c>
      <c r="C402">
        <v>127</v>
      </c>
      <c r="D402">
        <v>125</v>
      </c>
      <c r="E402">
        <v>3</v>
      </c>
      <c r="F402">
        <v>3</v>
      </c>
    </row>
    <row r="403" spans="1:6" ht="17" x14ac:dyDescent="0.25">
      <c r="A403" s="6">
        <v>3432</v>
      </c>
      <c r="B403" t="s">
        <v>122</v>
      </c>
      <c r="C403">
        <v>139</v>
      </c>
      <c r="D403">
        <v>101</v>
      </c>
      <c r="E403">
        <v>3</v>
      </c>
      <c r="F403">
        <v>3</v>
      </c>
    </row>
    <row r="404" spans="1:6" ht="17" x14ac:dyDescent="0.25">
      <c r="A404" s="6">
        <v>3432</v>
      </c>
      <c r="B404" t="s">
        <v>102</v>
      </c>
      <c r="C404">
        <v>98</v>
      </c>
      <c r="D404">
        <v>78</v>
      </c>
      <c r="E404">
        <v>3</v>
      </c>
      <c r="F404">
        <v>3</v>
      </c>
    </row>
    <row r="405" spans="1:6" ht="17" x14ac:dyDescent="0.25">
      <c r="A405" s="6">
        <v>3432</v>
      </c>
      <c r="B405" t="s">
        <v>123</v>
      </c>
      <c r="C405">
        <v>96</v>
      </c>
      <c r="D405">
        <v>101</v>
      </c>
      <c r="E405">
        <v>3</v>
      </c>
      <c r="F405">
        <v>3</v>
      </c>
    </row>
    <row r="406" spans="1:6" ht="17" x14ac:dyDescent="0.25">
      <c r="A406" s="6">
        <v>3480</v>
      </c>
      <c r="B406" t="s">
        <v>100</v>
      </c>
      <c r="C406">
        <v>126</v>
      </c>
      <c r="D406">
        <v>151</v>
      </c>
      <c r="E406">
        <v>3</v>
      </c>
      <c r="F406">
        <v>3</v>
      </c>
    </row>
    <row r="407" spans="1:6" ht="17" x14ac:dyDescent="0.25">
      <c r="A407" s="6">
        <v>3480</v>
      </c>
      <c r="B407" t="s">
        <v>122</v>
      </c>
      <c r="C407">
        <v>136</v>
      </c>
      <c r="D407">
        <v>120</v>
      </c>
      <c r="E407">
        <v>3</v>
      </c>
      <c r="F407">
        <v>3</v>
      </c>
    </row>
    <row r="408" spans="1:6" ht="17" x14ac:dyDescent="0.25">
      <c r="A408" s="6">
        <v>3480</v>
      </c>
      <c r="B408" t="s">
        <v>102</v>
      </c>
      <c r="C408">
        <v>107</v>
      </c>
      <c r="D408">
        <v>85</v>
      </c>
      <c r="E408">
        <v>3</v>
      </c>
      <c r="F408">
        <v>3</v>
      </c>
    </row>
    <row r="409" spans="1:6" ht="17" x14ac:dyDescent="0.25">
      <c r="A409" s="6">
        <v>3480</v>
      </c>
      <c r="B409" t="s">
        <v>123</v>
      </c>
      <c r="C409">
        <v>92</v>
      </c>
      <c r="D409">
        <v>92</v>
      </c>
      <c r="E409">
        <v>3</v>
      </c>
      <c r="F409">
        <v>3</v>
      </c>
    </row>
    <row r="410" spans="1:6" ht="17" x14ac:dyDescent="0.25">
      <c r="A410" s="6">
        <v>3528</v>
      </c>
      <c r="B410" t="s">
        <v>100</v>
      </c>
      <c r="C410">
        <v>163</v>
      </c>
      <c r="D410">
        <v>132</v>
      </c>
      <c r="E410">
        <v>3</v>
      </c>
      <c r="F410">
        <v>3</v>
      </c>
    </row>
    <row r="411" spans="1:6" ht="17" x14ac:dyDescent="0.25">
      <c r="A411" s="6">
        <v>3528</v>
      </c>
      <c r="B411" t="s">
        <v>122</v>
      </c>
      <c r="C411">
        <v>161</v>
      </c>
      <c r="D411">
        <v>109</v>
      </c>
      <c r="E411">
        <v>3</v>
      </c>
      <c r="F411">
        <v>3</v>
      </c>
    </row>
    <row r="412" spans="1:6" ht="17" x14ac:dyDescent="0.25">
      <c r="A412" s="6">
        <v>3528</v>
      </c>
      <c r="B412" t="s">
        <v>102</v>
      </c>
      <c r="C412">
        <v>100</v>
      </c>
      <c r="D412">
        <v>59</v>
      </c>
      <c r="E412">
        <v>3</v>
      </c>
      <c r="F412">
        <v>3</v>
      </c>
    </row>
    <row r="413" spans="1:6" ht="17" x14ac:dyDescent="0.25">
      <c r="A413" s="6">
        <v>3528</v>
      </c>
      <c r="B413" t="s">
        <v>123</v>
      </c>
      <c r="C413">
        <v>102</v>
      </c>
      <c r="D413">
        <v>99</v>
      </c>
      <c r="E413">
        <v>3</v>
      </c>
      <c r="F413">
        <v>3</v>
      </c>
    </row>
    <row r="414" spans="1:6" ht="17" x14ac:dyDescent="0.25">
      <c r="A414" s="6">
        <v>3576</v>
      </c>
      <c r="B414" t="s">
        <v>100</v>
      </c>
      <c r="C414">
        <v>157</v>
      </c>
      <c r="D414">
        <v>112</v>
      </c>
      <c r="E414">
        <v>3</v>
      </c>
      <c r="F414">
        <v>3</v>
      </c>
    </row>
    <row r="415" spans="1:6" ht="17" x14ac:dyDescent="0.25">
      <c r="A415" s="6">
        <v>3576</v>
      </c>
      <c r="B415" t="s">
        <v>122</v>
      </c>
      <c r="C415">
        <v>146</v>
      </c>
      <c r="D415">
        <v>110</v>
      </c>
      <c r="E415">
        <v>3</v>
      </c>
      <c r="F415">
        <v>3</v>
      </c>
    </row>
    <row r="416" spans="1:6" ht="17" x14ac:dyDescent="0.25">
      <c r="A416" s="6">
        <v>3576</v>
      </c>
      <c r="B416" t="s">
        <v>102</v>
      </c>
      <c r="C416">
        <v>91</v>
      </c>
      <c r="D416">
        <v>71</v>
      </c>
      <c r="E416">
        <v>3</v>
      </c>
      <c r="F416">
        <v>3</v>
      </c>
    </row>
    <row r="417" spans="1:6" ht="17" x14ac:dyDescent="0.25">
      <c r="A417" s="6">
        <v>3576</v>
      </c>
      <c r="B417" t="s">
        <v>123</v>
      </c>
      <c r="C417">
        <v>86</v>
      </c>
      <c r="D417">
        <v>88</v>
      </c>
      <c r="E417">
        <v>3</v>
      </c>
      <c r="F417">
        <v>3</v>
      </c>
    </row>
    <row r="418" spans="1:6" ht="17" x14ac:dyDescent="0.25">
      <c r="A418" s="6">
        <v>3624</v>
      </c>
      <c r="B418" t="s">
        <v>100</v>
      </c>
      <c r="C418">
        <v>168</v>
      </c>
      <c r="D418">
        <v>107</v>
      </c>
      <c r="E418">
        <v>3</v>
      </c>
      <c r="F418">
        <v>3</v>
      </c>
    </row>
    <row r="419" spans="1:6" ht="17" x14ac:dyDescent="0.25">
      <c r="A419" s="6">
        <v>3624</v>
      </c>
      <c r="B419" t="s">
        <v>122</v>
      </c>
      <c r="C419">
        <v>180</v>
      </c>
      <c r="D419">
        <v>143</v>
      </c>
      <c r="E419">
        <v>3</v>
      </c>
      <c r="F419">
        <v>3</v>
      </c>
    </row>
    <row r="420" spans="1:6" ht="17" x14ac:dyDescent="0.25">
      <c r="A420" s="6">
        <v>3624</v>
      </c>
      <c r="B420" t="s">
        <v>102</v>
      </c>
      <c r="C420">
        <v>89</v>
      </c>
      <c r="D420">
        <v>91</v>
      </c>
      <c r="E420">
        <v>3</v>
      </c>
      <c r="F420">
        <v>3</v>
      </c>
    </row>
    <row r="421" spans="1:6" ht="17" x14ac:dyDescent="0.25">
      <c r="A421" s="6">
        <v>3624</v>
      </c>
      <c r="B421" t="s">
        <v>123</v>
      </c>
      <c r="C421">
        <v>72</v>
      </c>
      <c r="D421">
        <v>84</v>
      </c>
      <c r="E421">
        <v>3</v>
      </c>
      <c r="F421">
        <v>3</v>
      </c>
    </row>
    <row r="422" spans="1:6" ht="17" x14ac:dyDescent="0.25">
      <c r="A422" s="6">
        <v>3672</v>
      </c>
      <c r="B422" t="s">
        <v>100</v>
      </c>
      <c r="C422">
        <v>167</v>
      </c>
      <c r="D422">
        <v>136</v>
      </c>
      <c r="E422">
        <v>3</v>
      </c>
      <c r="F422">
        <v>3</v>
      </c>
    </row>
    <row r="423" spans="1:6" ht="17" x14ac:dyDescent="0.25">
      <c r="A423" s="6">
        <v>3672</v>
      </c>
      <c r="B423" t="s">
        <v>122</v>
      </c>
      <c r="C423">
        <v>126</v>
      </c>
      <c r="D423">
        <v>110</v>
      </c>
      <c r="E423">
        <v>3</v>
      </c>
      <c r="F423">
        <v>3</v>
      </c>
    </row>
    <row r="424" spans="1:6" ht="17" x14ac:dyDescent="0.25">
      <c r="A424" s="6">
        <v>3672</v>
      </c>
      <c r="B424" t="s">
        <v>102</v>
      </c>
      <c r="C424">
        <v>98</v>
      </c>
      <c r="D424">
        <v>66</v>
      </c>
      <c r="E424">
        <v>3</v>
      </c>
      <c r="F424">
        <v>3</v>
      </c>
    </row>
    <row r="425" spans="1:6" ht="17" x14ac:dyDescent="0.25">
      <c r="A425" s="6">
        <v>3672</v>
      </c>
      <c r="B425" t="s">
        <v>123</v>
      </c>
      <c r="C425">
        <v>92</v>
      </c>
      <c r="D425">
        <v>67</v>
      </c>
      <c r="E425">
        <v>3</v>
      </c>
      <c r="F425">
        <v>3</v>
      </c>
    </row>
    <row r="426" spans="1:6" ht="17" x14ac:dyDescent="0.25">
      <c r="A426" s="6">
        <v>3720</v>
      </c>
      <c r="B426" t="s">
        <v>100</v>
      </c>
      <c r="C426">
        <v>215</v>
      </c>
      <c r="D426">
        <v>164</v>
      </c>
      <c r="E426">
        <v>3</v>
      </c>
      <c r="F426">
        <v>3</v>
      </c>
    </row>
    <row r="427" spans="1:6" ht="17" x14ac:dyDescent="0.25">
      <c r="A427" s="6">
        <v>3720</v>
      </c>
      <c r="B427" t="s">
        <v>122</v>
      </c>
      <c r="C427">
        <v>217</v>
      </c>
      <c r="D427">
        <v>137</v>
      </c>
      <c r="E427">
        <v>3</v>
      </c>
      <c r="F427">
        <v>3</v>
      </c>
    </row>
    <row r="428" spans="1:6" ht="17" x14ac:dyDescent="0.25">
      <c r="A428" s="6">
        <v>3720</v>
      </c>
      <c r="B428" t="s">
        <v>102</v>
      </c>
      <c r="C428">
        <v>120</v>
      </c>
      <c r="D428">
        <v>103</v>
      </c>
      <c r="E428">
        <v>3</v>
      </c>
      <c r="F428">
        <v>3</v>
      </c>
    </row>
    <row r="429" spans="1:6" ht="17" x14ac:dyDescent="0.25">
      <c r="A429" s="6">
        <v>3720</v>
      </c>
      <c r="B429" t="s">
        <v>123</v>
      </c>
      <c r="C429">
        <v>169</v>
      </c>
      <c r="D429">
        <v>116</v>
      </c>
      <c r="E429">
        <v>3</v>
      </c>
      <c r="F429">
        <v>3</v>
      </c>
    </row>
    <row r="430" spans="1:6" ht="17" x14ac:dyDescent="0.25">
      <c r="A430" s="6">
        <v>3768</v>
      </c>
      <c r="B430" t="s">
        <v>100</v>
      </c>
      <c r="C430">
        <v>168</v>
      </c>
      <c r="D430">
        <v>120</v>
      </c>
      <c r="E430">
        <v>3</v>
      </c>
      <c r="F430">
        <v>3</v>
      </c>
    </row>
    <row r="431" spans="1:6" ht="17" x14ac:dyDescent="0.25">
      <c r="A431" s="6">
        <v>3768</v>
      </c>
      <c r="B431" t="s">
        <v>122</v>
      </c>
      <c r="C431">
        <v>187</v>
      </c>
      <c r="D431">
        <v>126</v>
      </c>
      <c r="E431">
        <v>3</v>
      </c>
      <c r="F431">
        <v>3</v>
      </c>
    </row>
    <row r="432" spans="1:6" ht="17" x14ac:dyDescent="0.25">
      <c r="A432" s="6">
        <v>3768</v>
      </c>
      <c r="B432" t="s">
        <v>102</v>
      </c>
      <c r="C432">
        <v>103</v>
      </c>
      <c r="D432">
        <v>85</v>
      </c>
      <c r="E432">
        <v>3</v>
      </c>
      <c r="F432">
        <v>3</v>
      </c>
    </row>
    <row r="433" spans="1:6" ht="17" x14ac:dyDescent="0.25">
      <c r="A433" s="6">
        <v>3768</v>
      </c>
      <c r="B433" t="s">
        <v>123</v>
      </c>
      <c r="C433">
        <v>111</v>
      </c>
      <c r="D433">
        <v>83</v>
      </c>
      <c r="E433">
        <v>3</v>
      </c>
      <c r="F433">
        <v>3</v>
      </c>
    </row>
    <row r="434" spans="1:6" ht="17" x14ac:dyDescent="0.25">
      <c r="A434" s="6">
        <v>3816</v>
      </c>
      <c r="B434" t="s">
        <v>100</v>
      </c>
      <c r="C434">
        <v>153</v>
      </c>
      <c r="D434">
        <v>123</v>
      </c>
      <c r="E434">
        <v>3</v>
      </c>
      <c r="F434">
        <v>3</v>
      </c>
    </row>
    <row r="435" spans="1:6" ht="17" x14ac:dyDescent="0.25">
      <c r="A435" s="6">
        <v>3816</v>
      </c>
      <c r="B435" t="s">
        <v>122</v>
      </c>
      <c r="C435">
        <v>167</v>
      </c>
      <c r="D435">
        <v>145</v>
      </c>
      <c r="E435">
        <v>3</v>
      </c>
      <c r="F435">
        <v>3</v>
      </c>
    </row>
    <row r="436" spans="1:6" ht="17" x14ac:dyDescent="0.25">
      <c r="A436" s="6">
        <v>3816</v>
      </c>
      <c r="B436" t="s">
        <v>102</v>
      </c>
      <c r="C436">
        <v>106</v>
      </c>
      <c r="D436">
        <v>90</v>
      </c>
      <c r="E436">
        <v>3</v>
      </c>
      <c r="F436">
        <v>3</v>
      </c>
    </row>
    <row r="437" spans="1:6" ht="17" x14ac:dyDescent="0.25">
      <c r="A437" s="6">
        <v>3816</v>
      </c>
      <c r="B437" t="s">
        <v>123</v>
      </c>
      <c r="C437">
        <v>96</v>
      </c>
      <c r="D437">
        <v>108</v>
      </c>
      <c r="E437">
        <v>3</v>
      </c>
      <c r="F437">
        <v>3</v>
      </c>
    </row>
    <row r="438" spans="1:6" ht="17" x14ac:dyDescent="0.25">
      <c r="A438" s="6">
        <v>3864</v>
      </c>
      <c r="B438" t="s">
        <v>100</v>
      </c>
      <c r="C438">
        <v>155</v>
      </c>
      <c r="D438">
        <v>106</v>
      </c>
      <c r="E438">
        <v>3</v>
      </c>
      <c r="F438">
        <v>3</v>
      </c>
    </row>
    <row r="439" spans="1:6" ht="17" x14ac:dyDescent="0.25">
      <c r="A439" s="6">
        <v>3864</v>
      </c>
      <c r="B439" t="s">
        <v>122</v>
      </c>
      <c r="C439">
        <v>142</v>
      </c>
      <c r="D439">
        <v>102</v>
      </c>
      <c r="E439">
        <v>3</v>
      </c>
      <c r="F439">
        <v>3</v>
      </c>
    </row>
    <row r="440" spans="1:6" ht="17" x14ac:dyDescent="0.25">
      <c r="A440" s="6">
        <v>3864</v>
      </c>
      <c r="B440" t="s">
        <v>102</v>
      </c>
      <c r="C440">
        <v>70</v>
      </c>
      <c r="D440">
        <v>67</v>
      </c>
      <c r="E440">
        <v>3</v>
      </c>
      <c r="F440">
        <v>3</v>
      </c>
    </row>
    <row r="441" spans="1:6" ht="17" x14ac:dyDescent="0.25">
      <c r="A441" s="6">
        <v>3864</v>
      </c>
      <c r="B441" t="s">
        <v>123</v>
      </c>
      <c r="C441">
        <v>96</v>
      </c>
      <c r="D441">
        <v>90</v>
      </c>
      <c r="E441">
        <v>3</v>
      </c>
      <c r="F441">
        <v>3</v>
      </c>
    </row>
    <row r="442" spans="1:6" ht="17" x14ac:dyDescent="0.25">
      <c r="A442" s="6">
        <v>3912</v>
      </c>
      <c r="B442" t="s">
        <v>100</v>
      </c>
      <c r="C442">
        <v>139</v>
      </c>
      <c r="D442">
        <v>135</v>
      </c>
      <c r="E442">
        <v>3</v>
      </c>
      <c r="F442">
        <v>3</v>
      </c>
    </row>
    <row r="443" spans="1:6" ht="17" x14ac:dyDescent="0.25">
      <c r="A443" s="6">
        <v>3912</v>
      </c>
      <c r="B443" t="s">
        <v>122</v>
      </c>
      <c r="C443">
        <v>182</v>
      </c>
      <c r="D443">
        <v>113</v>
      </c>
      <c r="E443">
        <v>3</v>
      </c>
      <c r="F443">
        <v>3</v>
      </c>
    </row>
    <row r="444" spans="1:6" ht="17" x14ac:dyDescent="0.25">
      <c r="A444" s="6">
        <v>3912</v>
      </c>
      <c r="B444" t="s">
        <v>102</v>
      </c>
      <c r="C444">
        <v>108</v>
      </c>
      <c r="D444">
        <v>68</v>
      </c>
      <c r="E444">
        <v>3</v>
      </c>
      <c r="F444">
        <v>3</v>
      </c>
    </row>
    <row r="445" spans="1:6" ht="17" x14ac:dyDescent="0.25">
      <c r="A445" s="6">
        <v>3912</v>
      </c>
      <c r="B445" t="s">
        <v>123</v>
      </c>
      <c r="C445">
        <v>99</v>
      </c>
      <c r="D445">
        <v>105</v>
      </c>
      <c r="E445">
        <v>3</v>
      </c>
      <c r="F445">
        <v>3</v>
      </c>
    </row>
    <row r="446" spans="1:6" ht="17" x14ac:dyDescent="0.25">
      <c r="A446" s="6">
        <v>3960</v>
      </c>
      <c r="B446" t="s">
        <v>100</v>
      </c>
      <c r="C446">
        <v>145</v>
      </c>
      <c r="D446">
        <v>99</v>
      </c>
      <c r="E446">
        <v>3</v>
      </c>
      <c r="F446">
        <v>3</v>
      </c>
    </row>
    <row r="447" spans="1:6" ht="17" x14ac:dyDescent="0.25">
      <c r="A447" s="6">
        <v>3960</v>
      </c>
      <c r="B447" t="s">
        <v>122</v>
      </c>
      <c r="C447">
        <v>160</v>
      </c>
      <c r="D447">
        <v>108</v>
      </c>
      <c r="E447">
        <v>3</v>
      </c>
      <c r="F447">
        <v>3</v>
      </c>
    </row>
    <row r="448" spans="1:6" ht="17" x14ac:dyDescent="0.25">
      <c r="A448" s="6">
        <v>3960</v>
      </c>
      <c r="B448" t="s">
        <v>102</v>
      </c>
      <c r="C448">
        <v>85</v>
      </c>
      <c r="D448">
        <v>93</v>
      </c>
      <c r="E448">
        <v>3</v>
      </c>
      <c r="F448">
        <v>3</v>
      </c>
    </row>
    <row r="449" spans="1:6" ht="17" x14ac:dyDescent="0.25">
      <c r="A449" s="6">
        <v>3960</v>
      </c>
      <c r="B449" t="s">
        <v>123</v>
      </c>
      <c r="C449">
        <v>108</v>
      </c>
      <c r="D449">
        <v>89</v>
      </c>
      <c r="E449">
        <v>3</v>
      </c>
      <c r="F449">
        <v>3</v>
      </c>
    </row>
    <row r="450" spans="1:6" ht="17" x14ac:dyDescent="0.25">
      <c r="A450" s="6">
        <v>4008</v>
      </c>
      <c r="B450" t="s">
        <v>100</v>
      </c>
      <c r="C450">
        <v>179</v>
      </c>
      <c r="D450">
        <v>140</v>
      </c>
      <c r="E450">
        <v>3</v>
      </c>
      <c r="F450">
        <v>3</v>
      </c>
    </row>
    <row r="451" spans="1:6" ht="17" x14ac:dyDescent="0.25">
      <c r="A451" s="6">
        <v>4008</v>
      </c>
      <c r="B451" t="s">
        <v>122</v>
      </c>
      <c r="C451">
        <v>152</v>
      </c>
      <c r="D451">
        <v>123</v>
      </c>
      <c r="E451">
        <v>3</v>
      </c>
      <c r="F451">
        <v>3</v>
      </c>
    </row>
    <row r="452" spans="1:6" ht="17" x14ac:dyDescent="0.25">
      <c r="A452" s="6">
        <v>4008</v>
      </c>
      <c r="B452" t="s">
        <v>102</v>
      </c>
      <c r="C452">
        <v>89</v>
      </c>
      <c r="D452">
        <v>80</v>
      </c>
      <c r="E452">
        <v>3</v>
      </c>
      <c r="F452">
        <v>3</v>
      </c>
    </row>
    <row r="453" spans="1:6" ht="17" x14ac:dyDescent="0.25">
      <c r="A453" s="6">
        <v>4008</v>
      </c>
      <c r="B453" t="s">
        <v>123</v>
      </c>
      <c r="C453">
        <v>108</v>
      </c>
      <c r="D453">
        <v>96</v>
      </c>
      <c r="E453">
        <v>3</v>
      </c>
      <c r="F453">
        <v>3</v>
      </c>
    </row>
    <row r="454" spans="1:6" ht="17" x14ac:dyDescent="0.25">
      <c r="A454" s="6">
        <v>4056</v>
      </c>
      <c r="B454" t="s">
        <v>100</v>
      </c>
      <c r="C454">
        <v>163</v>
      </c>
      <c r="D454">
        <v>104</v>
      </c>
      <c r="E454">
        <v>3</v>
      </c>
      <c r="F454">
        <v>3</v>
      </c>
    </row>
    <row r="455" spans="1:6" ht="17" x14ac:dyDescent="0.25">
      <c r="A455" s="6">
        <v>4056</v>
      </c>
      <c r="B455" t="s">
        <v>122</v>
      </c>
      <c r="C455">
        <v>118</v>
      </c>
      <c r="D455">
        <v>91</v>
      </c>
      <c r="E455">
        <v>3</v>
      </c>
      <c r="F455">
        <v>3</v>
      </c>
    </row>
    <row r="456" spans="1:6" ht="17" x14ac:dyDescent="0.25">
      <c r="A456" s="6">
        <v>4056</v>
      </c>
      <c r="B456" t="s">
        <v>102</v>
      </c>
      <c r="C456">
        <v>111</v>
      </c>
      <c r="D456">
        <v>66</v>
      </c>
      <c r="E456">
        <v>3</v>
      </c>
      <c r="F456">
        <v>3</v>
      </c>
    </row>
    <row r="457" spans="1:6" ht="17" x14ac:dyDescent="0.25">
      <c r="A457" s="6">
        <v>4056</v>
      </c>
      <c r="B457" t="s">
        <v>123</v>
      </c>
      <c r="C457">
        <v>82</v>
      </c>
      <c r="D457">
        <v>95</v>
      </c>
      <c r="E457">
        <v>3</v>
      </c>
      <c r="F457">
        <v>3</v>
      </c>
    </row>
    <row r="458" spans="1:6" ht="17" x14ac:dyDescent="0.25">
      <c r="A458" s="6">
        <v>4104</v>
      </c>
      <c r="B458" t="s">
        <v>100</v>
      </c>
      <c r="C458">
        <v>164</v>
      </c>
      <c r="D458">
        <v>117</v>
      </c>
      <c r="E458">
        <v>3</v>
      </c>
      <c r="F458">
        <v>3</v>
      </c>
    </row>
    <row r="459" spans="1:6" ht="17" x14ac:dyDescent="0.25">
      <c r="A459" s="6">
        <v>4104</v>
      </c>
      <c r="B459" t="s">
        <v>122</v>
      </c>
      <c r="C459">
        <v>154</v>
      </c>
      <c r="D459">
        <v>118</v>
      </c>
      <c r="E459">
        <v>3</v>
      </c>
      <c r="F459">
        <v>3</v>
      </c>
    </row>
    <row r="460" spans="1:6" ht="17" x14ac:dyDescent="0.25">
      <c r="A460" s="6">
        <v>4104</v>
      </c>
      <c r="B460" t="s">
        <v>102</v>
      </c>
      <c r="C460">
        <v>106</v>
      </c>
      <c r="D460">
        <v>76</v>
      </c>
      <c r="E460">
        <v>3</v>
      </c>
      <c r="F460">
        <v>3</v>
      </c>
    </row>
    <row r="461" spans="1:6" ht="17" x14ac:dyDescent="0.25">
      <c r="A461" s="6">
        <v>4104</v>
      </c>
      <c r="B461" t="s">
        <v>123</v>
      </c>
      <c r="C461">
        <v>92</v>
      </c>
      <c r="D461">
        <v>94</v>
      </c>
      <c r="E461">
        <v>3</v>
      </c>
      <c r="F461">
        <v>3</v>
      </c>
    </row>
    <row r="462" spans="1:6" ht="17" x14ac:dyDescent="0.25">
      <c r="A462" s="6">
        <v>4152</v>
      </c>
      <c r="B462" t="s">
        <v>100</v>
      </c>
      <c r="C462">
        <v>145</v>
      </c>
      <c r="D462">
        <v>110</v>
      </c>
      <c r="E462">
        <v>3</v>
      </c>
      <c r="F462">
        <v>3</v>
      </c>
    </row>
    <row r="463" spans="1:6" ht="17" x14ac:dyDescent="0.25">
      <c r="A463" s="6">
        <v>4152</v>
      </c>
      <c r="B463" t="s">
        <v>122</v>
      </c>
      <c r="C463">
        <v>168</v>
      </c>
      <c r="D463">
        <v>149</v>
      </c>
      <c r="E463">
        <v>3</v>
      </c>
      <c r="F463">
        <v>3</v>
      </c>
    </row>
    <row r="464" spans="1:6" ht="17" x14ac:dyDescent="0.25">
      <c r="A464" s="6">
        <v>4152</v>
      </c>
      <c r="B464" t="s">
        <v>102</v>
      </c>
      <c r="C464">
        <v>117</v>
      </c>
      <c r="D464">
        <v>82</v>
      </c>
      <c r="E464">
        <v>3</v>
      </c>
      <c r="F464">
        <v>3</v>
      </c>
    </row>
    <row r="465" spans="1:6" ht="17" x14ac:dyDescent="0.25">
      <c r="A465" s="6">
        <v>4152</v>
      </c>
      <c r="B465" t="s">
        <v>123</v>
      </c>
      <c r="C465">
        <v>137</v>
      </c>
      <c r="D465">
        <v>102</v>
      </c>
      <c r="E465">
        <v>3</v>
      </c>
      <c r="F465">
        <v>3</v>
      </c>
    </row>
    <row r="466" spans="1:6" ht="17" x14ac:dyDescent="0.25">
      <c r="A466" s="6">
        <v>4200</v>
      </c>
      <c r="B466" t="s">
        <v>100</v>
      </c>
      <c r="C466">
        <v>156</v>
      </c>
      <c r="D466">
        <v>98</v>
      </c>
      <c r="E466">
        <v>3</v>
      </c>
      <c r="F466">
        <v>3</v>
      </c>
    </row>
    <row r="467" spans="1:6" ht="17" x14ac:dyDescent="0.25">
      <c r="A467" s="6">
        <v>4200</v>
      </c>
      <c r="B467" t="s">
        <v>122</v>
      </c>
      <c r="C467">
        <v>139</v>
      </c>
      <c r="D467">
        <v>100</v>
      </c>
      <c r="E467">
        <v>3</v>
      </c>
      <c r="F467">
        <v>3</v>
      </c>
    </row>
    <row r="468" spans="1:6" ht="17" x14ac:dyDescent="0.25">
      <c r="A468" s="6">
        <v>4200</v>
      </c>
      <c r="B468" t="s">
        <v>102</v>
      </c>
      <c r="C468">
        <v>92</v>
      </c>
      <c r="D468">
        <v>83</v>
      </c>
      <c r="E468">
        <v>3</v>
      </c>
      <c r="F468">
        <v>3</v>
      </c>
    </row>
    <row r="469" spans="1:6" ht="17" x14ac:dyDescent="0.25">
      <c r="A469" s="6">
        <v>4200</v>
      </c>
      <c r="B469" t="s">
        <v>123</v>
      </c>
      <c r="C469">
        <v>99</v>
      </c>
      <c r="D469">
        <v>86</v>
      </c>
      <c r="E469">
        <v>3</v>
      </c>
      <c r="F469">
        <v>3</v>
      </c>
    </row>
    <row r="470" spans="1:6" ht="17" x14ac:dyDescent="0.25">
      <c r="A470" s="6">
        <v>4248</v>
      </c>
      <c r="B470" t="s">
        <v>100</v>
      </c>
      <c r="C470">
        <v>137</v>
      </c>
      <c r="D470">
        <v>94</v>
      </c>
      <c r="E470">
        <v>3</v>
      </c>
      <c r="F470">
        <v>3</v>
      </c>
    </row>
    <row r="471" spans="1:6" ht="17" x14ac:dyDescent="0.25">
      <c r="A471" s="6">
        <v>4248</v>
      </c>
      <c r="B471" t="s">
        <v>122</v>
      </c>
      <c r="C471">
        <v>182</v>
      </c>
      <c r="D471">
        <v>130</v>
      </c>
      <c r="E471">
        <v>3</v>
      </c>
      <c r="F471">
        <v>3</v>
      </c>
    </row>
    <row r="472" spans="1:6" ht="17" x14ac:dyDescent="0.25">
      <c r="A472" s="6">
        <v>4248</v>
      </c>
      <c r="B472" t="s">
        <v>102</v>
      </c>
      <c r="C472">
        <v>70</v>
      </c>
      <c r="D472">
        <v>65</v>
      </c>
      <c r="E472">
        <v>3</v>
      </c>
      <c r="F472">
        <v>3</v>
      </c>
    </row>
    <row r="473" spans="1:6" ht="17" x14ac:dyDescent="0.25">
      <c r="A473" s="6">
        <v>4248</v>
      </c>
      <c r="B473" t="s">
        <v>123</v>
      </c>
      <c r="C473">
        <v>100</v>
      </c>
      <c r="D473">
        <v>87</v>
      </c>
      <c r="E473">
        <v>3</v>
      </c>
      <c r="F473">
        <v>3</v>
      </c>
    </row>
    <row r="474" spans="1:6" ht="17" x14ac:dyDescent="0.25">
      <c r="A474" s="6">
        <v>4296</v>
      </c>
      <c r="B474" t="s">
        <v>100</v>
      </c>
      <c r="C474">
        <v>123</v>
      </c>
      <c r="D474">
        <v>83</v>
      </c>
      <c r="E474">
        <v>3</v>
      </c>
      <c r="F474">
        <v>3</v>
      </c>
    </row>
    <row r="475" spans="1:6" ht="17" x14ac:dyDescent="0.25">
      <c r="A475" s="6">
        <v>4296</v>
      </c>
      <c r="B475" t="s">
        <v>122</v>
      </c>
      <c r="C475">
        <v>144</v>
      </c>
      <c r="D475">
        <v>158</v>
      </c>
      <c r="E475">
        <v>3</v>
      </c>
      <c r="F475">
        <v>3</v>
      </c>
    </row>
    <row r="476" spans="1:6" ht="17" x14ac:dyDescent="0.25">
      <c r="A476" s="6">
        <v>4296</v>
      </c>
      <c r="B476" t="s">
        <v>102</v>
      </c>
      <c r="C476">
        <v>86</v>
      </c>
      <c r="D476">
        <v>75</v>
      </c>
      <c r="E476">
        <v>3</v>
      </c>
      <c r="F476">
        <v>3</v>
      </c>
    </row>
    <row r="477" spans="1:6" ht="17" x14ac:dyDescent="0.25">
      <c r="A477" s="6">
        <v>4296</v>
      </c>
      <c r="B477" t="s">
        <v>123</v>
      </c>
      <c r="C477">
        <v>97</v>
      </c>
      <c r="D477">
        <v>98</v>
      </c>
      <c r="E477">
        <v>3</v>
      </c>
      <c r="F477">
        <v>3</v>
      </c>
    </row>
    <row r="478" spans="1:6" ht="17" x14ac:dyDescent="0.25">
      <c r="A478" s="6">
        <v>4344</v>
      </c>
      <c r="B478" t="s">
        <v>100</v>
      </c>
      <c r="C478">
        <v>151</v>
      </c>
      <c r="D478">
        <v>133</v>
      </c>
      <c r="E478">
        <v>3</v>
      </c>
      <c r="F478">
        <v>3</v>
      </c>
    </row>
    <row r="479" spans="1:6" ht="17" x14ac:dyDescent="0.25">
      <c r="A479" s="6">
        <v>4344</v>
      </c>
      <c r="B479" t="s">
        <v>122</v>
      </c>
      <c r="C479">
        <v>169</v>
      </c>
      <c r="D479">
        <v>132</v>
      </c>
      <c r="E479">
        <v>3</v>
      </c>
      <c r="F479">
        <v>3</v>
      </c>
    </row>
    <row r="480" spans="1:6" ht="17" x14ac:dyDescent="0.25">
      <c r="A480" s="6">
        <v>4344</v>
      </c>
      <c r="B480" t="s">
        <v>102</v>
      </c>
      <c r="C480">
        <v>84</v>
      </c>
      <c r="D480">
        <v>70</v>
      </c>
      <c r="E480">
        <v>3</v>
      </c>
      <c r="F480">
        <v>3</v>
      </c>
    </row>
    <row r="481" spans="1:6" ht="17" x14ac:dyDescent="0.25">
      <c r="A481" s="6">
        <v>4344</v>
      </c>
      <c r="B481" t="s">
        <v>123</v>
      </c>
      <c r="C481">
        <v>87</v>
      </c>
      <c r="D481">
        <v>67</v>
      </c>
      <c r="E481">
        <v>3</v>
      </c>
      <c r="F481">
        <v>3</v>
      </c>
    </row>
    <row r="482" spans="1:6" ht="17" x14ac:dyDescent="0.25">
      <c r="A482" s="6">
        <v>4392</v>
      </c>
      <c r="B482" t="s">
        <v>100</v>
      </c>
      <c r="C482">
        <v>160</v>
      </c>
      <c r="D482">
        <v>112</v>
      </c>
      <c r="E482">
        <v>3</v>
      </c>
      <c r="F482">
        <v>3</v>
      </c>
    </row>
    <row r="483" spans="1:6" ht="17" x14ac:dyDescent="0.25">
      <c r="A483" s="6">
        <v>4392</v>
      </c>
      <c r="B483" t="s">
        <v>122</v>
      </c>
      <c r="C483">
        <v>152</v>
      </c>
      <c r="D483">
        <v>130</v>
      </c>
      <c r="E483">
        <v>3</v>
      </c>
      <c r="F483">
        <v>3</v>
      </c>
    </row>
    <row r="484" spans="1:6" ht="17" x14ac:dyDescent="0.25">
      <c r="A484" s="6">
        <v>4392</v>
      </c>
      <c r="B484" t="s">
        <v>102</v>
      </c>
      <c r="C484">
        <v>113</v>
      </c>
      <c r="D484">
        <v>59</v>
      </c>
      <c r="E484">
        <v>3</v>
      </c>
      <c r="F484">
        <v>3</v>
      </c>
    </row>
    <row r="485" spans="1:6" ht="17" x14ac:dyDescent="0.25">
      <c r="A485" s="6">
        <v>4392</v>
      </c>
      <c r="B485" t="s">
        <v>123</v>
      </c>
      <c r="C485">
        <v>107</v>
      </c>
      <c r="D485">
        <v>77</v>
      </c>
      <c r="E485">
        <v>3</v>
      </c>
      <c r="F485">
        <v>3</v>
      </c>
    </row>
    <row r="486" spans="1:6" ht="17" x14ac:dyDescent="0.25">
      <c r="A486" s="6">
        <v>4484</v>
      </c>
      <c r="B486" t="s">
        <v>100</v>
      </c>
      <c r="C486">
        <v>135</v>
      </c>
      <c r="D486">
        <v>120</v>
      </c>
      <c r="E486">
        <v>3</v>
      </c>
      <c r="F486">
        <v>3</v>
      </c>
    </row>
    <row r="487" spans="1:6" ht="17" x14ac:dyDescent="0.25">
      <c r="A487" s="6">
        <v>4484</v>
      </c>
      <c r="B487" t="s">
        <v>122</v>
      </c>
      <c r="C487">
        <v>174</v>
      </c>
      <c r="D487">
        <v>128</v>
      </c>
      <c r="E487">
        <v>3</v>
      </c>
      <c r="F487">
        <v>3</v>
      </c>
    </row>
    <row r="488" spans="1:6" ht="17" x14ac:dyDescent="0.25">
      <c r="A488" s="6">
        <v>4484</v>
      </c>
      <c r="B488" t="s">
        <v>102</v>
      </c>
      <c r="C488">
        <v>80</v>
      </c>
      <c r="D488">
        <v>69</v>
      </c>
      <c r="E488">
        <v>3</v>
      </c>
      <c r="F488">
        <v>3</v>
      </c>
    </row>
    <row r="489" spans="1:6" ht="17" x14ac:dyDescent="0.25">
      <c r="A489" s="6">
        <v>4484</v>
      </c>
      <c r="B489" t="s">
        <v>123</v>
      </c>
      <c r="C489">
        <v>96</v>
      </c>
      <c r="D489">
        <v>97</v>
      </c>
      <c r="E489">
        <v>3</v>
      </c>
      <c r="F489">
        <v>3</v>
      </c>
    </row>
    <row r="490" spans="1:6" ht="17" x14ac:dyDescent="0.25">
      <c r="A490" s="6">
        <v>4532</v>
      </c>
      <c r="B490" t="s">
        <v>100</v>
      </c>
      <c r="C490">
        <v>97</v>
      </c>
      <c r="D490">
        <v>94</v>
      </c>
      <c r="E490">
        <v>3</v>
      </c>
      <c r="F490">
        <v>3</v>
      </c>
    </row>
    <row r="491" spans="1:6" ht="17" x14ac:dyDescent="0.25">
      <c r="A491" s="6">
        <v>4532</v>
      </c>
      <c r="B491" t="s">
        <v>122</v>
      </c>
      <c r="C491">
        <v>127</v>
      </c>
      <c r="D491">
        <v>99</v>
      </c>
      <c r="E491">
        <v>3</v>
      </c>
      <c r="F491">
        <v>3</v>
      </c>
    </row>
    <row r="492" spans="1:6" ht="17" x14ac:dyDescent="0.25">
      <c r="A492" s="6">
        <v>4532</v>
      </c>
      <c r="B492" t="s">
        <v>102</v>
      </c>
      <c r="C492">
        <v>82</v>
      </c>
      <c r="D492">
        <v>67</v>
      </c>
      <c r="E492">
        <v>3</v>
      </c>
      <c r="F492">
        <v>3</v>
      </c>
    </row>
    <row r="493" spans="1:6" ht="17" x14ac:dyDescent="0.25">
      <c r="A493" s="6">
        <v>4532</v>
      </c>
      <c r="B493" t="s">
        <v>123</v>
      </c>
      <c r="C493">
        <v>94</v>
      </c>
      <c r="D493">
        <v>84</v>
      </c>
      <c r="E493">
        <v>3</v>
      </c>
      <c r="F493">
        <v>3</v>
      </c>
    </row>
    <row r="494" spans="1:6" ht="17" x14ac:dyDescent="0.25">
      <c r="A494" s="6">
        <v>4580</v>
      </c>
      <c r="B494" t="s">
        <v>100</v>
      </c>
      <c r="C494">
        <v>157</v>
      </c>
      <c r="D494">
        <v>126</v>
      </c>
      <c r="E494">
        <v>3</v>
      </c>
      <c r="F494">
        <v>3</v>
      </c>
    </row>
    <row r="495" spans="1:6" ht="17" x14ac:dyDescent="0.25">
      <c r="A495" s="6">
        <v>4580</v>
      </c>
      <c r="B495" t="s">
        <v>122</v>
      </c>
      <c r="C495">
        <v>191</v>
      </c>
      <c r="D495">
        <v>116</v>
      </c>
      <c r="E495">
        <v>3</v>
      </c>
      <c r="F495">
        <v>3</v>
      </c>
    </row>
    <row r="496" spans="1:6" ht="17" x14ac:dyDescent="0.25">
      <c r="A496" s="6">
        <v>4580</v>
      </c>
      <c r="B496" t="s">
        <v>102</v>
      </c>
      <c r="C496">
        <v>103</v>
      </c>
      <c r="D496">
        <v>63</v>
      </c>
      <c r="E496">
        <v>3</v>
      </c>
      <c r="F496">
        <v>3</v>
      </c>
    </row>
    <row r="497" spans="1:6" ht="17" x14ac:dyDescent="0.25">
      <c r="A497" s="6">
        <v>4580</v>
      </c>
      <c r="B497" t="s">
        <v>123</v>
      </c>
      <c r="C497">
        <v>99</v>
      </c>
      <c r="D497">
        <v>78</v>
      </c>
      <c r="E497">
        <v>3</v>
      </c>
      <c r="F497">
        <v>3</v>
      </c>
    </row>
    <row r="498" spans="1:6" ht="17" x14ac:dyDescent="0.25">
      <c r="A498" s="6">
        <v>4628</v>
      </c>
      <c r="B498" t="s">
        <v>100</v>
      </c>
      <c r="C498">
        <v>173</v>
      </c>
      <c r="D498">
        <v>104</v>
      </c>
      <c r="E498">
        <v>3</v>
      </c>
      <c r="F498">
        <v>3</v>
      </c>
    </row>
    <row r="499" spans="1:6" ht="17" x14ac:dyDescent="0.25">
      <c r="A499" s="6">
        <v>4628</v>
      </c>
      <c r="B499" t="s">
        <v>122</v>
      </c>
      <c r="C499">
        <v>152</v>
      </c>
      <c r="D499">
        <v>134</v>
      </c>
      <c r="E499">
        <v>3</v>
      </c>
      <c r="F499">
        <v>3</v>
      </c>
    </row>
    <row r="500" spans="1:6" ht="17" x14ac:dyDescent="0.25">
      <c r="A500" s="6">
        <v>4628</v>
      </c>
      <c r="B500" t="s">
        <v>102</v>
      </c>
      <c r="C500">
        <v>78</v>
      </c>
      <c r="D500">
        <v>72</v>
      </c>
      <c r="E500">
        <v>3</v>
      </c>
      <c r="F500">
        <v>3</v>
      </c>
    </row>
    <row r="501" spans="1:6" ht="17" x14ac:dyDescent="0.25">
      <c r="A501" s="6">
        <v>4628</v>
      </c>
      <c r="B501" t="s">
        <v>123</v>
      </c>
      <c r="C501">
        <v>102</v>
      </c>
      <c r="D501">
        <v>79</v>
      </c>
      <c r="E501">
        <v>3</v>
      </c>
      <c r="F501">
        <v>3</v>
      </c>
    </row>
    <row r="502" spans="1:6" ht="17" x14ac:dyDescent="0.25">
      <c r="A502" s="6">
        <v>4676</v>
      </c>
      <c r="B502" t="s">
        <v>100</v>
      </c>
      <c r="C502">
        <v>190</v>
      </c>
      <c r="D502">
        <v>121</v>
      </c>
      <c r="E502">
        <v>3</v>
      </c>
      <c r="F502">
        <v>3</v>
      </c>
    </row>
    <row r="503" spans="1:6" ht="17" x14ac:dyDescent="0.25">
      <c r="A503" s="6">
        <v>4676</v>
      </c>
      <c r="B503" t="s">
        <v>122</v>
      </c>
      <c r="C503">
        <v>156</v>
      </c>
      <c r="D503">
        <v>150</v>
      </c>
      <c r="E503">
        <v>3</v>
      </c>
      <c r="F503">
        <v>3</v>
      </c>
    </row>
    <row r="504" spans="1:6" ht="17" x14ac:dyDescent="0.25">
      <c r="A504" s="6">
        <v>4676</v>
      </c>
      <c r="B504" t="s">
        <v>102</v>
      </c>
      <c r="C504">
        <v>77</v>
      </c>
      <c r="D504">
        <v>87</v>
      </c>
      <c r="E504">
        <v>3</v>
      </c>
      <c r="F504">
        <v>3</v>
      </c>
    </row>
    <row r="505" spans="1:6" ht="17" x14ac:dyDescent="0.25">
      <c r="A505" s="6">
        <v>4676</v>
      </c>
      <c r="B505" t="s">
        <v>123</v>
      </c>
      <c r="C505">
        <v>113</v>
      </c>
      <c r="D505">
        <v>83</v>
      </c>
      <c r="E505">
        <v>3</v>
      </c>
      <c r="F505">
        <v>3</v>
      </c>
    </row>
    <row r="506" spans="1:6" ht="17" x14ac:dyDescent="0.25">
      <c r="A506" s="6">
        <v>4724</v>
      </c>
      <c r="B506" t="s">
        <v>100</v>
      </c>
      <c r="C506">
        <v>163</v>
      </c>
      <c r="D506">
        <v>101</v>
      </c>
      <c r="E506">
        <v>3</v>
      </c>
      <c r="F506">
        <v>3</v>
      </c>
    </row>
    <row r="507" spans="1:6" ht="17" x14ac:dyDescent="0.25">
      <c r="A507" s="6">
        <v>4724</v>
      </c>
      <c r="B507" t="s">
        <v>122</v>
      </c>
      <c r="C507">
        <v>189</v>
      </c>
      <c r="D507">
        <v>116</v>
      </c>
      <c r="E507">
        <v>3</v>
      </c>
      <c r="F507">
        <v>3</v>
      </c>
    </row>
    <row r="508" spans="1:6" ht="17" x14ac:dyDescent="0.25">
      <c r="A508" s="6">
        <v>4724</v>
      </c>
      <c r="B508" t="s">
        <v>102</v>
      </c>
      <c r="C508">
        <v>87</v>
      </c>
      <c r="D508">
        <v>77</v>
      </c>
      <c r="E508">
        <v>3</v>
      </c>
      <c r="F508">
        <v>3</v>
      </c>
    </row>
    <row r="509" spans="1:6" ht="17" x14ac:dyDescent="0.25">
      <c r="A509" s="6">
        <v>4724</v>
      </c>
      <c r="B509" t="s">
        <v>123</v>
      </c>
      <c r="C509">
        <v>113</v>
      </c>
      <c r="D509">
        <v>73</v>
      </c>
      <c r="E509">
        <v>3</v>
      </c>
      <c r="F509">
        <v>3</v>
      </c>
    </row>
    <row r="510" spans="1:6" ht="17" x14ac:dyDescent="0.25">
      <c r="A510" s="6">
        <v>4772</v>
      </c>
      <c r="B510" t="s">
        <v>100</v>
      </c>
      <c r="C510">
        <v>92</v>
      </c>
      <c r="D510">
        <v>81</v>
      </c>
      <c r="E510">
        <v>3</v>
      </c>
      <c r="F510">
        <v>3</v>
      </c>
    </row>
    <row r="511" spans="1:6" ht="17" x14ac:dyDescent="0.25">
      <c r="A511" s="6">
        <v>4772</v>
      </c>
      <c r="B511" t="s">
        <v>122</v>
      </c>
      <c r="C511">
        <v>133</v>
      </c>
      <c r="D511">
        <v>119</v>
      </c>
      <c r="E511">
        <v>3</v>
      </c>
      <c r="F511">
        <v>3</v>
      </c>
    </row>
    <row r="512" spans="1:6" ht="17" x14ac:dyDescent="0.25">
      <c r="A512" s="6">
        <v>4772</v>
      </c>
      <c r="B512" t="s">
        <v>102</v>
      </c>
      <c r="C512">
        <v>73</v>
      </c>
      <c r="D512">
        <v>59</v>
      </c>
      <c r="E512">
        <v>3</v>
      </c>
      <c r="F512">
        <v>3</v>
      </c>
    </row>
    <row r="513" spans="1:6" ht="17" x14ac:dyDescent="0.25">
      <c r="A513" s="6">
        <v>4772</v>
      </c>
      <c r="B513" t="s">
        <v>123</v>
      </c>
      <c r="C513">
        <v>79</v>
      </c>
      <c r="D513">
        <v>76</v>
      </c>
      <c r="E513">
        <v>3</v>
      </c>
      <c r="F513">
        <v>3</v>
      </c>
    </row>
    <row r="514" spans="1:6" ht="17" x14ac:dyDescent="0.25">
      <c r="A514" s="6">
        <v>4820</v>
      </c>
      <c r="B514" t="s">
        <v>100</v>
      </c>
      <c r="C514">
        <v>163</v>
      </c>
      <c r="D514">
        <v>117</v>
      </c>
      <c r="E514">
        <v>3</v>
      </c>
      <c r="F514">
        <v>3</v>
      </c>
    </row>
    <row r="515" spans="1:6" ht="17" x14ac:dyDescent="0.25">
      <c r="A515" s="6">
        <v>4820</v>
      </c>
      <c r="B515" t="s">
        <v>122</v>
      </c>
      <c r="C515">
        <v>155</v>
      </c>
      <c r="D515">
        <v>134</v>
      </c>
      <c r="E515">
        <v>3</v>
      </c>
      <c r="F515">
        <v>3</v>
      </c>
    </row>
    <row r="516" spans="1:6" ht="17" x14ac:dyDescent="0.25">
      <c r="A516" s="6">
        <v>4820</v>
      </c>
      <c r="B516" t="s">
        <v>102</v>
      </c>
      <c r="C516">
        <v>87</v>
      </c>
      <c r="D516">
        <v>104</v>
      </c>
      <c r="E516">
        <v>3</v>
      </c>
      <c r="F516">
        <v>3</v>
      </c>
    </row>
    <row r="517" spans="1:6" ht="17" x14ac:dyDescent="0.25">
      <c r="A517" s="6">
        <v>4820</v>
      </c>
      <c r="B517" t="s">
        <v>123</v>
      </c>
      <c r="C517">
        <v>133</v>
      </c>
      <c r="D517">
        <v>93</v>
      </c>
      <c r="E517">
        <v>3</v>
      </c>
      <c r="F517">
        <v>3</v>
      </c>
    </row>
    <row r="518" spans="1:6" ht="17" x14ac:dyDescent="0.25">
      <c r="A518" s="6">
        <v>4868</v>
      </c>
      <c r="B518" t="s">
        <v>100</v>
      </c>
      <c r="C518">
        <v>195</v>
      </c>
      <c r="D518">
        <v>170</v>
      </c>
      <c r="E518">
        <v>3</v>
      </c>
      <c r="F518">
        <v>3</v>
      </c>
    </row>
    <row r="519" spans="1:6" ht="17" x14ac:dyDescent="0.25">
      <c r="A519" s="6">
        <v>4868</v>
      </c>
      <c r="B519" t="s">
        <v>122</v>
      </c>
      <c r="C519">
        <v>209</v>
      </c>
      <c r="D519">
        <v>177</v>
      </c>
      <c r="E519">
        <v>3</v>
      </c>
      <c r="F519">
        <v>3</v>
      </c>
    </row>
    <row r="520" spans="1:6" ht="17" x14ac:dyDescent="0.25">
      <c r="A520" s="6">
        <v>4868</v>
      </c>
      <c r="B520" t="s">
        <v>102</v>
      </c>
      <c r="C520">
        <v>112</v>
      </c>
      <c r="D520">
        <v>93</v>
      </c>
      <c r="E520">
        <v>3</v>
      </c>
      <c r="F520">
        <v>3</v>
      </c>
    </row>
    <row r="521" spans="1:6" ht="17" x14ac:dyDescent="0.25">
      <c r="A521" s="6">
        <v>4868</v>
      </c>
      <c r="B521" t="s">
        <v>123</v>
      </c>
      <c r="C521">
        <v>138</v>
      </c>
      <c r="D521">
        <v>117</v>
      </c>
      <c r="E521">
        <v>3</v>
      </c>
      <c r="F521">
        <v>3</v>
      </c>
    </row>
    <row r="522" spans="1:6" ht="17" x14ac:dyDescent="0.25">
      <c r="A522" s="6">
        <v>4916</v>
      </c>
      <c r="B522" t="s">
        <v>100</v>
      </c>
      <c r="C522">
        <v>136</v>
      </c>
      <c r="D522">
        <v>131</v>
      </c>
      <c r="E522">
        <v>3</v>
      </c>
      <c r="F522">
        <v>3</v>
      </c>
    </row>
    <row r="523" spans="1:6" ht="17" x14ac:dyDescent="0.25">
      <c r="A523" s="6">
        <v>4916</v>
      </c>
      <c r="B523" t="s">
        <v>122</v>
      </c>
      <c r="C523">
        <v>161</v>
      </c>
      <c r="D523">
        <v>160</v>
      </c>
      <c r="E523">
        <v>3</v>
      </c>
      <c r="F523">
        <v>3</v>
      </c>
    </row>
    <row r="524" spans="1:6" ht="17" x14ac:dyDescent="0.25">
      <c r="A524" s="6">
        <v>4916</v>
      </c>
      <c r="B524" t="s">
        <v>102</v>
      </c>
      <c r="C524">
        <v>98</v>
      </c>
      <c r="D524">
        <v>83</v>
      </c>
      <c r="E524">
        <v>3</v>
      </c>
      <c r="F524">
        <v>3</v>
      </c>
    </row>
    <row r="525" spans="1:6" ht="17" x14ac:dyDescent="0.25">
      <c r="A525" s="6">
        <v>4916</v>
      </c>
      <c r="B525" t="s">
        <v>123</v>
      </c>
      <c r="C525">
        <v>126</v>
      </c>
      <c r="D525">
        <v>118</v>
      </c>
      <c r="E525">
        <v>3</v>
      </c>
      <c r="F525">
        <v>3</v>
      </c>
    </row>
    <row r="526" spans="1:6" ht="17" x14ac:dyDescent="0.25">
      <c r="A526" s="6">
        <v>4964</v>
      </c>
      <c r="B526" t="s">
        <v>100</v>
      </c>
      <c r="C526">
        <v>121</v>
      </c>
      <c r="D526">
        <v>111</v>
      </c>
      <c r="E526">
        <v>3</v>
      </c>
      <c r="F526">
        <v>3</v>
      </c>
    </row>
    <row r="527" spans="1:6" ht="17" x14ac:dyDescent="0.25">
      <c r="A527" s="6">
        <v>4964</v>
      </c>
      <c r="B527" t="s">
        <v>122</v>
      </c>
      <c r="C527">
        <v>194</v>
      </c>
      <c r="D527">
        <v>151</v>
      </c>
      <c r="E527">
        <v>3</v>
      </c>
      <c r="F527">
        <v>3</v>
      </c>
    </row>
    <row r="528" spans="1:6" ht="17" x14ac:dyDescent="0.25">
      <c r="A528" s="6">
        <v>4964</v>
      </c>
      <c r="B528" t="s">
        <v>102</v>
      </c>
      <c r="C528">
        <v>75</v>
      </c>
      <c r="D528">
        <v>118</v>
      </c>
      <c r="E528">
        <v>3</v>
      </c>
      <c r="F528">
        <v>3</v>
      </c>
    </row>
    <row r="529" spans="1:6" ht="17" x14ac:dyDescent="0.25">
      <c r="A529" s="6">
        <v>4964</v>
      </c>
      <c r="B529" t="s">
        <v>123</v>
      </c>
      <c r="C529">
        <v>102</v>
      </c>
      <c r="D529">
        <v>81</v>
      </c>
      <c r="E529">
        <v>3</v>
      </c>
      <c r="F529">
        <v>3</v>
      </c>
    </row>
    <row r="530" spans="1:6" ht="17" x14ac:dyDescent="0.25">
      <c r="A530" s="6">
        <v>5012</v>
      </c>
      <c r="B530" t="s">
        <v>100</v>
      </c>
      <c r="C530">
        <v>174</v>
      </c>
      <c r="D530">
        <v>105</v>
      </c>
      <c r="E530">
        <v>3</v>
      </c>
      <c r="F530">
        <v>3</v>
      </c>
    </row>
    <row r="531" spans="1:6" ht="17" x14ac:dyDescent="0.25">
      <c r="A531" s="6">
        <v>5012</v>
      </c>
      <c r="B531" t="s">
        <v>122</v>
      </c>
      <c r="C531">
        <v>157</v>
      </c>
      <c r="D531">
        <v>144</v>
      </c>
      <c r="E531">
        <v>3</v>
      </c>
      <c r="F531">
        <v>3</v>
      </c>
    </row>
    <row r="532" spans="1:6" ht="17" x14ac:dyDescent="0.25">
      <c r="A532" s="6">
        <v>5012</v>
      </c>
      <c r="B532" t="s">
        <v>102</v>
      </c>
      <c r="C532">
        <v>76</v>
      </c>
      <c r="D532">
        <v>76</v>
      </c>
      <c r="E532">
        <v>3</v>
      </c>
      <c r="F532">
        <v>3</v>
      </c>
    </row>
    <row r="533" spans="1:6" ht="17" x14ac:dyDescent="0.25">
      <c r="A533" s="6">
        <v>5012</v>
      </c>
      <c r="B533" t="s">
        <v>123</v>
      </c>
      <c r="C533">
        <v>98</v>
      </c>
      <c r="D533">
        <v>85</v>
      </c>
      <c r="E533">
        <v>3</v>
      </c>
      <c r="F533">
        <v>3</v>
      </c>
    </row>
    <row r="534" spans="1:6" ht="17" x14ac:dyDescent="0.25">
      <c r="A534" s="6">
        <v>5060</v>
      </c>
      <c r="B534" t="s">
        <v>100</v>
      </c>
      <c r="C534">
        <v>155</v>
      </c>
      <c r="D534">
        <v>126</v>
      </c>
      <c r="E534">
        <v>3</v>
      </c>
      <c r="F534">
        <v>3</v>
      </c>
    </row>
    <row r="535" spans="1:6" ht="17" x14ac:dyDescent="0.25">
      <c r="A535" s="6">
        <v>5060</v>
      </c>
      <c r="B535" t="s">
        <v>122</v>
      </c>
      <c r="C535">
        <v>204</v>
      </c>
      <c r="D535">
        <v>140</v>
      </c>
      <c r="E535">
        <v>3</v>
      </c>
      <c r="F535">
        <v>3</v>
      </c>
    </row>
    <row r="536" spans="1:6" ht="17" x14ac:dyDescent="0.25">
      <c r="A536" s="6">
        <v>5060</v>
      </c>
      <c r="B536" t="s">
        <v>102</v>
      </c>
      <c r="C536">
        <v>101</v>
      </c>
      <c r="D536">
        <v>88</v>
      </c>
      <c r="E536">
        <v>3</v>
      </c>
      <c r="F536">
        <v>3</v>
      </c>
    </row>
    <row r="537" spans="1:6" ht="17" x14ac:dyDescent="0.25">
      <c r="A537" s="6">
        <v>5060</v>
      </c>
      <c r="B537" t="s">
        <v>123</v>
      </c>
      <c r="C537">
        <v>80</v>
      </c>
      <c r="D537">
        <v>94</v>
      </c>
      <c r="E537">
        <v>3</v>
      </c>
      <c r="F537">
        <v>3</v>
      </c>
    </row>
    <row r="538" spans="1:6" ht="17" x14ac:dyDescent="0.25">
      <c r="A538" s="6">
        <v>5108</v>
      </c>
      <c r="B538" t="s">
        <v>100</v>
      </c>
      <c r="C538">
        <v>155</v>
      </c>
      <c r="D538">
        <v>109</v>
      </c>
      <c r="E538">
        <v>3</v>
      </c>
      <c r="F538">
        <v>3</v>
      </c>
    </row>
    <row r="539" spans="1:6" ht="17" x14ac:dyDescent="0.25">
      <c r="A539" s="6">
        <v>5108</v>
      </c>
      <c r="B539" t="s">
        <v>122</v>
      </c>
      <c r="C539">
        <v>136</v>
      </c>
      <c r="D539">
        <v>102</v>
      </c>
      <c r="E539">
        <v>3</v>
      </c>
      <c r="F539">
        <v>3</v>
      </c>
    </row>
    <row r="540" spans="1:6" ht="17" x14ac:dyDescent="0.25">
      <c r="A540" s="6">
        <v>5108</v>
      </c>
      <c r="B540" t="s">
        <v>102</v>
      </c>
      <c r="C540">
        <v>89</v>
      </c>
      <c r="D540">
        <v>85</v>
      </c>
      <c r="E540">
        <v>3</v>
      </c>
      <c r="F540">
        <v>3</v>
      </c>
    </row>
    <row r="541" spans="1:6" ht="17" x14ac:dyDescent="0.25">
      <c r="A541" s="6">
        <v>5108</v>
      </c>
      <c r="B541" t="s">
        <v>123</v>
      </c>
      <c r="C541">
        <v>101</v>
      </c>
      <c r="D541">
        <v>81</v>
      </c>
      <c r="E541">
        <v>3</v>
      </c>
      <c r="F541">
        <v>3</v>
      </c>
    </row>
    <row r="542" spans="1:6" ht="17" x14ac:dyDescent="0.25">
      <c r="A542" s="6">
        <v>5180</v>
      </c>
      <c r="B542" t="s">
        <v>100</v>
      </c>
      <c r="C542">
        <v>152</v>
      </c>
      <c r="D542">
        <v>86</v>
      </c>
      <c r="E542">
        <v>3</v>
      </c>
      <c r="F542">
        <v>3</v>
      </c>
    </row>
    <row r="543" spans="1:6" ht="17" x14ac:dyDescent="0.25">
      <c r="A543" s="6">
        <v>5180</v>
      </c>
      <c r="B543" t="s">
        <v>122</v>
      </c>
      <c r="C543">
        <v>157</v>
      </c>
      <c r="D543">
        <v>115</v>
      </c>
      <c r="E543">
        <v>3</v>
      </c>
      <c r="F543">
        <v>3</v>
      </c>
    </row>
    <row r="544" spans="1:6" ht="17" x14ac:dyDescent="0.25">
      <c r="A544" s="6">
        <v>5180</v>
      </c>
      <c r="B544" t="s">
        <v>102</v>
      </c>
      <c r="C544">
        <v>68</v>
      </c>
      <c r="D544">
        <v>58</v>
      </c>
      <c r="E544">
        <v>3</v>
      </c>
      <c r="F544">
        <v>3</v>
      </c>
    </row>
    <row r="545" spans="1:6" ht="17" x14ac:dyDescent="0.25">
      <c r="A545" s="6">
        <v>5180</v>
      </c>
      <c r="B545" t="s">
        <v>123</v>
      </c>
      <c r="C545">
        <v>92</v>
      </c>
      <c r="D545">
        <v>74</v>
      </c>
      <c r="E545">
        <v>3</v>
      </c>
      <c r="F545">
        <v>3</v>
      </c>
    </row>
    <row r="546" spans="1:6" ht="17" x14ac:dyDescent="0.25">
      <c r="A546" s="6">
        <v>5228</v>
      </c>
      <c r="B546" t="s">
        <v>100</v>
      </c>
      <c r="C546">
        <v>166</v>
      </c>
      <c r="D546">
        <v>98</v>
      </c>
      <c r="E546">
        <v>3</v>
      </c>
      <c r="F546">
        <v>3</v>
      </c>
    </row>
    <row r="547" spans="1:6" ht="17" x14ac:dyDescent="0.25">
      <c r="A547" s="6">
        <v>5228</v>
      </c>
      <c r="B547" t="s">
        <v>122</v>
      </c>
      <c r="C547">
        <v>124</v>
      </c>
      <c r="D547">
        <v>108</v>
      </c>
      <c r="E547">
        <v>3</v>
      </c>
      <c r="F547">
        <v>3</v>
      </c>
    </row>
    <row r="548" spans="1:6" ht="17" x14ac:dyDescent="0.25">
      <c r="A548" s="6">
        <v>5228</v>
      </c>
      <c r="B548" t="s">
        <v>102</v>
      </c>
      <c r="C548">
        <v>67</v>
      </c>
      <c r="D548">
        <v>58</v>
      </c>
      <c r="E548">
        <v>3</v>
      </c>
      <c r="F548">
        <v>3</v>
      </c>
    </row>
    <row r="549" spans="1:6" ht="17" x14ac:dyDescent="0.25">
      <c r="A549" s="6">
        <v>5228</v>
      </c>
      <c r="B549" t="s">
        <v>123</v>
      </c>
      <c r="C549">
        <v>79</v>
      </c>
      <c r="D549">
        <v>73</v>
      </c>
      <c r="E549">
        <v>3</v>
      </c>
      <c r="F549">
        <v>3</v>
      </c>
    </row>
    <row r="550" spans="1:6" ht="17" x14ac:dyDescent="0.25">
      <c r="A550" s="6">
        <v>5276</v>
      </c>
      <c r="B550" t="s">
        <v>100</v>
      </c>
      <c r="C550">
        <v>158</v>
      </c>
      <c r="D550">
        <v>103</v>
      </c>
      <c r="E550">
        <v>3</v>
      </c>
      <c r="F550">
        <v>3</v>
      </c>
    </row>
    <row r="551" spans="1:6" ht="17" x14ac:dyDescent="0.25">
      <c r="A551" s="6">
        <v>5276</v>
      </c>
      <c r="B551" t="s">
        <v>122</v>
      </c>
      <c r="C551">
        <v>171</v>
      </c>
      <c r="D551">
        <v>134</v>
      </c>
      <c r="E551">
        <v>3</v>
      </c>
      <c r="F551">
        <v>3</v>
      </c>
    </row>
    <row r="552" spans="1:6" ht="17" x14ac:dyDescent="0.25">
      <c r="A552" s="6">
        <v>5276</v>
      </c>
      <c r="B552" t="s">
        <v>102</v>
      </c>
      <c r="C552">
        <v>94</v>
      </c>
      <c r="D552">
        <v>83</v>
      </c>
      <c r="E552">
        <v>3</v>
      </c>
      <c r="F552">
        <v>3</v>
      </c>
    </row>
    <row r="553" spans="1:6" ht="17" x14ac:dyDescent="0.25">
      <c r="A553" s="6">
        <v>5276</v>
      </c>
      <c r="B553" t="s">
        <v>123</v>
      </c>
      <c r="C553">
        <v>116</v>
      </c>
      <c r="D553">
        <v>93</v>
      </c>
      <c r="E553">
        <v>3</v>
      </c>
      <c r="F553">
        <v>3</v>
      </c>
    </row>
    <row r="554" spans="1:6" ht="17" x14ac:dyDescent="0.25">
      <c r="A554" s="6">
        <v>5324</v>
      </c>
      <c r="B554" t="s">
        <v>100</v>
      </c>
      <c r="C554">
        <v>145</v>
      </c>
      <c r="D554">
        <v>97</v>
      </c>
      <c r="E554">
        <v>3</v>
      </c>
      <c r="F554">
        <v>3</v>
      </c>
    </row>
    <row r="555" spans="1:6" ht="17" x14ac:dyDescent="0.25">
      <c r="A555" s="6">
        <v>5324</v>
      </c>
      <c r="B555" t="s">
        <v>122</v>
      </c>
      <c r="C555">
        <v>135</v>
      </c>
      <c r="D555">
        <v>119</v>
      </c>
      <c r="E555">
        <v>3</v>
      </c>
      <c r="F555">
        <v>3</v>
      </c>
    </row>
    <row r="556" spans="1:6" ht="17" x14ac:dyDescent="0.25">
      <c r="A556" s="6">
        <v>5324</v>
      </c>
      <c r="B556" t="s">
        <v>102</v>
      </c>
      <c r="C556">
        <v>71</v>
      </c>
      <c r="D556">
        <v>67</v>
      </c>
      <c r="E556">
        <v>3</v>
      </c>
      <c r="F556">
        <v>3</v>
      </c>
    </row>
    <row r="557" spans="1:6" ht="17" x14ac:dyDescent="0.25">
      <c r="A557" s="6">
        <v>5324</v>
      </c>
      <c r="B557" t="s">
        <v>123</v>
      </c>
      <c r="C557">
        <v>113</v>
      </c>
      <c r="D557">
        <v>83</v>
      </c>
      <c r="E557">
        <v>3</v>
      </c>
      <c r="F557">
        <v>3</v>
      </c>
    </row>
    <row r="558" spans="1:6" ht="17" x14ac:dyDescent="0.25">
      <c r="A558" s="6">
        <v>5372</v>
      </c>
      <c r="B558" t="s">
        <v>100</v>
      </c>
      <c r="C558">
        <v>123</v>
      </c>
      <c r="D558">
        <v>93</v>
      </c>
      <c r="E558">
        <v>3</v>
      </c>
      <c r="F558">
        <v>3</v>
      </c>
    </row>
    <row r="559" spans="1:6" ht="17" x14ac:dyDescent="0.25">
      <c r="A559" s="6">
        <v>5372</v>
      </c>
      <c r="B559" t="s">
        <v>122</v>
      </c>
      <c r="C559">
        <v>159</v>
      </c>
      <c r="D559">
        <v>160</v>
      </c>
      <c r="E559">
        <v>3</v>
      </c>
      <c r="F559">
        <v>3</v>
      </c>
    </row>
    <row r="560" spans="1:6" ht="17" x14ac:dyDescent="0.25">
      <c r="A560" s="6">
        <v>5372</v>
      </c>
      <c r="B560" t="s">
        <v>102</v>
      </c>
      <c r="C560">
        <v>97</v>
      </c>
      <c r="D560">
        <v>71</v>
      </c>
      <c r="E560">
        <v>3</v>
      </c>
      <c r="F560">
        <v>3</v>
      </c>
    </row>
    <row r="561" spans="1:6" ht="17" x14ac:dyDescent="0.25">
      <c r="A561" s="6">
        <v>5372</v>
      </c>
      <c r="B561" t="s">
        <v>123</v>
      </c>
      <c r="C561">
        <v>112</v>
      </c>
      <c r="D561">
        <v>92</v>
      </c>
      <c r="E561">
        <v>3</v>
      </c>
      <c r="F561">
        <v>3</v>
      </c>
    </row>
    <row r="562" spans="1:6" ht="17" x14ac:dyDescent="0.25">
      <c r="A562" s="6">
        <v>5420</v>
      </c>
      <c r="B562" t="s">
        <v>100</v>
      </c>
      <c r="C562">
        <v>171</v>
      </c>
      <c r="D562">
        <v>108</v>
      </c>
      <c r="E562">
        <v>3</v>
      </c>
      <c r="F562">
        <v>3</v>
      </c>
    </row>
    <row r="563" spans="1:6" ht="17" x14ac:dyDescent="0.25">
      <c r="A563" s="6">
        <v>5420</v>
      </c>
      <c r="B563" t="s">
        <v>122</v>
      </c>
      <c r="C563">
        <v>158</v>
      </c>
      <c r="D563">
        <v>125</v>
      </c>
      <c r="E563">
        <v>3</v>
      </c>
      <c r="F563">
        <v>3</v>
      </c>
    </row>
    <row r="564" spans="1:6" ht="17" x14ac:dyDescent="0.25">
      <c r="A564" s="6">
        <v>5420</v>
      </c>
      <c r="B564" t="s">
        <v>102</v>
      </c>
      <c r="C564">
        <v>82</v>
      </c>
      <c r="D564">
        <v>58</v>
      </c>
      <c r="E564">
        <v>3</v>
      </c>
      <c r="F564">
        <v>3</v>
      </c>
    </row>
    <row r="565" spans="1:6" ht="17" x14ac:dyDescent="0.25">
      <c r="A565" s="6">
        <v>5420</v>
      </c>
      <c r="B565" t="s">
        <v>123</v>
      </c>
      <c r="C565">
        <v>127</v>
      </c>
      <c r="D565">
        <v>80</v>
      </c>
      <c r="E565">
        <v>3</v>
      </c>
      <c r="F565">
        <v>3</v>
      </c>
    </row>
    <row r="566" spans="1:6" ht="17" x14ac:dyDescent="0.25">
      <c r="A566" s="6">
        <v>5468</v>
      </c>
      <c r="B566" t="s">
        <v>100</v>
      </c>
      <c r="C566">
        <v>133</v>
      </c>
      <c r="D566">
        <v>107</v>
      </c>
      <c r="E566">
        <v>3</v>
      </c>
      <c r="F566">
        <v>3</v>
      </c>
    </row>
    <row r="567" spans="1:6" ht="17" x14ac:dyDescent="0.25">
      <c r="A567" s="6">
        <v>5468</v>
      </c>
      <c r="B567" t="s">
        <v>122</v>
      </c>
      <c r="C567">
        <v>155</v>
      </c>
      <c r="D567">
        <v>134</v>
      </c>
      <c r="E567">
        <v>3</v>
      </c>
      <c r="F567">
        <v>3</v>
      </c>
    </row>
    <row r="568" spans="1:6" ht="17" x14ac:dyDescent="0.25">
      <c r="A568" s="6">
        <v>5468</v>
      </c>
      <c r="B568" t="s">
        <v>102</v>
      </c>
      <c r="C568">
        <v>110</v>
      </c>
      <c r="D568">
        <v>75</v>
      </c>
      <c r="E568">
        <v>3</v>
      </c>
      <c r="F568">
        <v>3</v>
      </c>
    </row>
    <row r="569" spans="1:6" ht="17" x14ac:dyDescent="0.25">
      <c r="A569" s="6">
        <v>5468</v>
      </c>
      <c r="B569" t="s">
        <v>123</v>
      </c>
      <c r="C569">
        <v>129</v>
      </c>
      <c r="D569">
        <v>88</v>
      </c>
      <c r="E569">
        <v>3</v>
      </c>
      <c r="F569">
        <v>3</v>
      </c>
    </row>
    <row r="570" spans="1:6" ht="17" x14ac:dyDescent="0.25">
      <c r="A570" s="6">
        <v>5516</v>
      </c>
      <c r="B570" t="s">
        <v>100</v>
      </c>
      <c r="C570">
        <v>119</v>
      </c>
      <c r="D570">
        <v>93</v>
      </c>
      <c r="E570">
        <v>3</v>
      </c>
      <c r="F570">
        <v>3</v>
      </c>
    </row>
    <row r="571" spans="1:6" ht="17" x14ac:dyDescent="0.25">
      <c r="A571" s="6">
        <v>5516</v>
      </c>
      <c r="B571" t="s">
        <v>122</v>
      </c>
      <c r="C571">
        <v>163</v>
      </c>
      <c r="D571">
        <v>104</v>
      </c>
      <c r="E571">
        <v>3</v>
      </c>
      <c r="F571">
        <v>3</v>
      </c>
    </row>
    <row r="572" spans="1:6" ht="17" x14ac:dyDescent="0.25">
      <c r="A572" s="6">
        <v>5516</v>
      </c>
      <c r="B572" t="s">
        <v>102</v>
      </c>
      <c r="C572">
        <v>95</v>
      </c>
      <c r="D572">
        <v>57</v>
      </c>
      <c r="E572">
        <v>3</v>
      </c>
      <c r="F572">
        <v>3</v>
      </c>
    </row>
    <row r="573" spans="1:6" ht="17" x14ac:dyDescent="0.25">
      <c r="A573" s="6">
        <v>5516</v>
      </c>
      <c r="B573" t="s">
        <v>123</v>
      </c>
      <c r="C573">
        <v>105</v>
      </c>
      <c r="D573">
        <v>90</v>
      </c>
      <c r="E573">
        <v>3</v>
      </c>
      <c r="F573">
        <v>3</v>
      </c>
    </row>
    <row r="574" spans="1:6" ht="17" x14ac:dyDescent="0.25">
      <c r="A574" s="6">
        <v>5564</v>
      </c>
      <c r="B574" t="s">
        <v>100</v>
      </c>
      <c r="C574">
        <v>122</v>
      </c>
      <c r="D574">
        <v>113</v>
      </c>
      <c r="E574">
        <v>3</v>
      </c>
      <c r="F574">
        <v>3</v>
      </c>
    </row>
    <row r="575" spans="1:6" ht="17" x14ac:dyDescent="0.25">
      <c r="A575" s="6">
        <v>5564</v>
      </c>
      <c r="B575" t="s">
        <v>122</v>
      </c>
      <c r="C575">
        <v>157</v>
      </c>
      <c r="D575">
        <v>149</v>
      </c>
      <c r="E575">
        <v>3</v>
      </c>
      <c r="F575">
        <v>3</v>
      </c>
    </row>
    <row r="576" spans="1:6" ht="17" x14ac:dyDescent="0.25">
      <c r="A576" s="6">
        <v>5564</v>
      </c>
      <c r="B576" t="s">
        <v>102</v>
      </c>
      <c r="C576">
        <v>90</v>
      </c>
      <c r="D576">
        <v>76</v>
      </c>
      <c r="E576">
        <v>3</v>
      </c>
      <c r="F576">
        <v>3</v>
      </c>
    </row>
    <row r="577" spans="1:6" ht="17" x14ac:dyDescent="0.25">
      <c r="A577" s="6">
        <v>5564</v>
      </c>
      <c r="B577" t="s">
        <v>123</v>
      </c>
      <c r="C577">
        <v>91</v>
      </c>
      <c r="D577">
        <v>83</v>
      </c>
      <c r="E577">
        <v>3</v>
      </c>
      <c r="F577">
        <v>3</v>
      </c>
    </row>
    <row r="578" spans="1:6" ht="17" x14ac:dyDescent="0.25">
      <c r="A578" s="6">
        <v>5612</v>
      </c>
      <c r="B578" t="s">
        <v>100</v>
      </c>
      <c r="C578">
        <v>143</v>
      </c>
      <c r="D578">
        <v>106</v>
      </c>
      <c r="E578">
        <v>3</v>
      </c>
      <c r="F578">
        <v>3</v>
      </c>
    </row>
    <row r="579" spans="1:6" ht="17" x14ac:dyDescent="0.25">
      <c r="A579" s="6">
        <v>5612</v>
      </c>
      <c r="B579" t="s">
        <v>122</v>
      </c>
      <c r="C579">
        <v>142</v>
      </c>
      <c r="D579">
        <v>124</v>
      </c>
      <c r="E579">
        <v>3</v>
      </c>
      <c r="F579">
        <v>3</v>
      </c>
    </row>
    <row r="580" spans="1:6" ht="17" x14ac:dyDescent="0.25">
      <c r="A580" s="6">
        <v>5612</v>
      </c>
      <c r="B580" t="s">
        <v>102</v>
      </c>
      <c r="C580">
        <v>110</v>
      </c>
      <c r="D580">
        <v>87</v>
      </c>
      <c r="E580">
        <v>3</v>
      </c>
      <c r="F580">
        <v>3</v>
      </c>
    </row>
    <row r="581" spans="1:6" ht="17" x14ac:dyDescent="0.25">
      <c r="A581" s="6">
        <v>5612</v>
      </c>
      <c r="B581" t="s">
        <v>123</v>
      </c>
      <c r="C581">
        <v>106</v>
      </c>
      <c r="D581">
        <v>93</v>
      </c>
      <c r="E581">
        <v>3</v>
      </c>
      <c r="F581">
        <v>3</v>
      </c>
    </row>
    <row r="582" spans="1:6" ht="17" x14ac:dyDescent="0.25">
      <c r="A582" s="6">
        <v>5660</v>
      </c>
      <c r="B582" t="s">
        <v>100</v>
      </c>
      <c r="C582">
        <v>116</v>
      </c>
      <c r="D582">
        <v>113</v>
      </c>
      <c r="E582">
        <v>3</v>
      </c>
      <c r="F582">
        <v>3</v>
      </c>
    </row>
    <row r="583" spans="1:6" ht="17" x14ac:dyDescent="0.25">
      <c r="A583" s="6">
        <v>5660</v>
      </c>
      <c r="B583" t="s">
        <v>122</v>
      </c>
      <c r="C583">
        <v>155</v>
      </c>
      <c r="D583">
        <v>130</v>
      </c>
      <c r="E583">
        <v>3</v>
      </c>
      <c r="F583">
        <v>3</v>
      </c>
    </row>
    <row r="584" spans="1:6" ht="17" x14ac:dyDescent="0.25">
      <c r="A584" s="6">
        <v>5660</v>
      </c>
      <c r="B584" t="s">
        <v>102</v>
      </c>
      <c r="C584">
        <v>112</v>
      </c>
      <c r="D584">
        <v>75</v>
      </c>
      <c r="E584">
        <v>3</v>
      </c>
      <c r="F584">
        <v>3</v>
      </c>
    </row>
    <row r="585" spans="1:6" ht="17" x14ac:dyDescent="0.25">
      <c r="A585" s="6">
        <v>5660</v>
      </c>
      <c r="B585" t="s">
        <v>123</v>
      </c>
      <c r="C585">
        <v>123</v>
      </c>
      <c r="D585">
        <v>101</v>
      </c>
      <c r="E585">
        <v>3</v>
      </c>
      <c r="F585">
        <v>3</v>
      </c>
    </row>
    <row r="586" spans="1:6" ht="17" x14ac:dyDescent="0.25">
      <c r="A586" s="6">
        <v>5708</v>
      </c>
      <c r="B586" t="s">
        <v>100</v>
      </c>
      <c r="C586">
        <v>132</v>
      </c>
      <c r="D586">
        <v>126</v>
      </c>
      <c r="E586">
        <v>3</v>
      </c>
      <c r="F586">
        <v>3</v>
      </c>
    </row>
    <row r="587" spans="1:6" ht="17" x14ac:dyDescent="0.25">
      <c r="A587" s="6">
        <v>5708</v>
      </c>
      <c r="B587" t="s">
        <v>122</v>
      </c>
      <c r="C587">
        <v>193</v>
      </c>
      <c r="D587">
        <v>142</v>
      </c>
      <c r="E587">
        <v>3</v>
      </c>
      <c r="F587">
        <v>3</v>
      </c>
    </row>
    <row r="588" spans="1:6" ht="17" x14ac:dyDescent="0.25">
      <c r="A588" s="6">
        <v>5708</v>
      </c>
      <c r="B588" t="s">
        <v>102</v>
      </c>
      <c r="C588">
        <v>91</v>
      </c>
      <c r="D588">
        <v>62</v>
      </c>
      <c r="E588">
        <v>3</v>
      </c>
      <c r="F588">
        <v>3</v>
      </c>
    </row>
    <row r="589" spans="1:6" ht="17" x14ac:dyDescent="0.25">
      <c r="A589" s="6">
        <v>5708</v>
      </c>
      <c r="B589" t="s">
        <v>123</v>
      </c>
      <c r="C589">
        <v>113</v>
      </c>
      <c r="D589">
        <v>87</v>
      </c>
      <c r="E589">
        <v>3</v>
      </c>
      <c r="F589">
        <v>3</v>
      </c>
    </row>
    <row r="590" spans="1:6" ht="17" x14ac:dyDescent="0.25">
      <c r="A590" s="6">
        <v>5756</v>
      </c>
      <c r="B590" t="s">
        <v>100</v>
      </c>
      <c r="C590">
        <v>120</v>
      </c>
      <c r="D590">
        <v>91</v>
      </c>
      <c r="E590">
        <v>3</v>
      </c>
      <c r="F590">
        <v>3</v>
      </c>
    </row>
    <row r="591" spans="1:6" ht="17" x14ac:dyDescent="0.25">
      <c r="A591" s="6">
        <v>5756</v>
      </c>
      <c r="B591" t="s">
        <v>122</v>
      </c>
      <c r="C591">
        <v>150</v>
      </c>
      <c r="D591">
        <v>114</v>
      </c>
      <c r="E591">
        <v>3</v>
      </c>
      <c r="F591">
        <v>3</v>
      </c>
    </row>
    <row r="592" spans="1:6" ht="17" x14ac:dyDescent="0.25">
      <c r="A592" s="6">
        <v>5756</v>
      </c>
      <c r="B592" t="s">
        <v>102</v>
      </c>
      <c r="C592">
        <v>87</v>
      </c>
      <c r="D592">
        <v>64</v>
      </c>
      <c r="E592">
        <v>3</v>
      </c>
      <c r="F592">
        <v>3</v>
      </c>
    </row>
    <row r="593" spans="1:6" ht="17" x14ac:dyDescent="0.25">
      <c r="A593" s="6">
        <v>5756</v>
      </c>
      <c r="B593" t="s">
        <v>123</v>
      </c>
      <c r="C593">
        <v>106</v>
      </c>
      <c r="D593">
        <v>93</v>
      </c>
      <c r="E593">
        <v>3</v>
      </c>
      <c r="F593">
        <v>3</v>
      </c>
    </row>
    <row r="594" spans="1:6" ht="17" x14ac:dyDescent="0.25">
      <c r="A594" s="6">
        <v>5804</v>
      </c>
      <c r="B594" t="s">
        <v>100</v>
      </c>
      <c r="C594">
        <v>115</v>
      </c>
      <c r="D594">
        <v>80</v>
      </c>
      <c r="E594">
        <v>3</v>
      </c>
      <c r="F594">
        <v>3</v>
      </c>
    </row>
    <row r="595" spans="1:6" ht="17" x14ac:dyDescent="0.25">
      <c r="A595" s="6">
        <v>5804</v>
      </c>
      <c r="B595" t="s">
        <v>122</v>
      </c>
      <c r="C595">
        <v>182</v>
      </c>
      <c r="D595">
        <v>111</v>
      </c>
      <c r="E595">
        <v>3</v>
      </c>
      <c r="F595">
        <v>3</v>
      </c>
    </row>
    <row r="596" spans="1:6" ht="17" x14ac:dyDescent="0.25">
      <c r="A596" s="6">
        <v>5804</v>
      </c>
      <c r="B596" t="s">
        <v>102</v>
      </c>
      <c r="C596">
        <v>78</v>
      </c>
      <c r="D596">
        <v>78</v>
      </c>
      <c r="E596">
        <v>3</v>
      </c>
      <c r="F596">
        <v>3</v>
      </c>
    </row>
    <row r="597" spans="1:6" ht="17" x14ac:dyDescent="0.25">
      <c r="A597" s="6">
        <v>5804</v>
      </c>
      <c r="B597" t="s">
        <v>123</v>
      </c>
      <c r="C597">
        <v>104</v>
      </c>
      <c r="D597">
        <v>79</v>
      </c>
      <c r="E597">
        <v>3</v>
      </c>
      <c r="F597">
        <v>3</v>
      </c>
    </row>
    <row r="598" spans="1:6" ht="17" x14ac:dyDescent="0.25">
      <c r="A598" s="6">
        <v>5852</v>
      </c>
      <c r="B598" t="s">
        <v>100</v>
      </c>
      <c r="C598">
        <v>129</v>
      </c>
      <c r="D598">
        <v>120</v>
      </c>
      <c r="E598">
        <v>3</v>
      </c>
      <c r="F598">
        <v>3</v>
      </c>
    </row>
    <row r="599" spans="1:6" ht="17" x14ac:dyDescent="0.25">
      <c r="A599" s="6">
        <v>5852</v>
      </c>
      <c r="B599" t="s">
        <v>122</v>
      </c>
      <c r="C599">
        <v>164</v>
      </c>
      <c r="D599">
        <v>140</v>
      </c>
      <c r="E599">
        <v>3</v>
      </c>
      <c r="F599">
        <v>3</v>
      </c>
    </row>
    <row r="600" spans="1:6" ht="17" x14ac:dyDescent="0.25">
      <c r="A600" s="6">
        <v>5852</v>
      </c>
      <c r="B600" t="s">
        <v>102</v>
      </c>
      <c r="C600">
        <v>95</v>
      </c>
      <c r="D600">
        <v>87</v>
      </c>
      <c r="E600">
        <v>3</v>
      </c>
      <c r="F600">
        <v>3</v>
      </c>
    </row>
    <row r="601" spans="1:6" ht="17" x14ac:dyDescent="0.25">
      <c r="A601" s="6">
        <v>5852</v>
      </c>
      <c r="B601" t="s">
        <v>123</v>
      </c>
      <c r="C601">
        <v>115</v>
      </c>
      <c r="D601">
        <v>86</v>
      </c>
      <c r="E601">
        <v>3</v>
      </c>
      <c r="F601">
        <v>3</v>
      </c>
    </row>
    <row r="602" spans="1:6" ht="17" x14ac:dyDescent="0.25">
      <c r="A602" s="6">
        <v>5900</v>
      </c>
      <c r="B602" t="s">
        <v>100</v>
      </c>
      <c r="C602">
        <v>138</v>
      </c>
      <c r="D602">
        <v>95</v>
      </c>
      <c r="E602">
        <v>3</v>
      </c>
      <c r="F602">
        <v>3</v>
      </c>
    </row>
    <row r="603" spans="1:6" ht="17" x14ac:dyDescent="0.25">
      <c r="A603" s="6">
        <v>5900</v>
      </c>
      <c r="B603" t="s">
        <v>122</v>
      </c>
      <c r="C603">
        <v>202</v>
      </c>
      <c r="D603">
        <v>116</v>
      </c>
      <c r="E603">
        <v>3</v>
      </c>
      <c r="F603">
        <v>3</v>
      </c>
    </row>
    <row r="604" spans="1:6" ht="17" x14ac:dyDescent="0.25">
      <c r="A604" s="6">
        <v>5900</v>
      </c>
      <c r="B604" t="s">
        <v>102</v>
      </c>
      <c r="C604">
        <v>100</v>
      </c>
      <c r="D604">
        <v>68</v>
      </c>
      <c r="E604">
        <v>3</v>
      </c>
      <c r="F604">
        <v>3</v>
      </c>
    </row>
    <row r="605" spans="1:6" ht="17" x14ac:dyDescent="0.25">
      <c r="A605" s="6">
        <v>5900</v>
      </c>
      <c r="B605" t="s">
        <v>123</v>
      </c>
      <c r="C605">
        <v>96</v>
      </c>
      <c r="D605">
        <v>88</v>
      </c>
      <c r="E605">
        <v>3</v>
      </c>
      <c r="F605">
        <v>3</v>
      </c>
    </row>
    <row r="606" spans="1:6" ht="17" x14ac:dyDescent="0.25">
      <c r="A606" s="6">
        <v>5948</v>
      </c>
      <c r="B606" t="s">
        <v>100</v>
      </c>
      <c r="C606">
        <v>157</v>
      </c>
      <c r="D606">
        <v>146</v>
      </c>
      <c r="E606">
        <v>3</v>
      </c>
      <c r="F606">
        <v>3</v>
      </c>
    </row>
    <row r="607" spans="1:6" ht="17" x14ac:dyDescent="0.25">
      <c r="A607" s="6">
        <v>5948</v>
      </c>
      <c r="B607" t="s">
        <v>122</v>
      </c>
      <c r="C607">
        <v>195</v>
      </c>
      <c r="D607">
        <v>154</v>
      </c>
      <c r="E607">
        <v>3</v>
      </c>
      <c r="F607">
        <v>3</v>
      </c>
    </row>
    <row r="608" spans="1:6" ht="17" x14ac:dyDescent="0.25">
      <c r="A608" s="6">
        <v>5948</v>
      </c>
      <c r="B608" t="s">
        <v>102</v>
      </c>
      <c r="C608">
        <v>116</v>
      </c>
      <c r="D608">
        <v>86</v>
      </c>
      <c r="E608">
        <v>3</v>
      </c>
      <c r="F608">
        <v>3</v>
      </c>
    </row>
    <row r="609" spans="1:6" ht="17" x14ac:dyDescent="0.25">
      <c r="A609" s="6">
        <v>5948</v>
      </c>
      <c r="B609" t="s">
        <v>123</v>
      </c>
      <c r="C609">
        <v>134</v>
      </c>
      <c r="D609">
        <v>94</v>
      </c>
      <c r="E609">
        <v>3</v>
      </c>
      <c r="F609">
        <v>3</v>
      </c>
    </row>
    <row r="610" spans="1:6" ht="17" x14ac:dyDescent="0.25">
      <c r="A610" s="6">
        <v>5996</v>
      </c>
      <c r="B610" t="s">
        <v>100</v>
      </c>
      <c r="C610">
        <v>167</v>
      </c>
      <c r="D610">
        <v>103</v>
      </c>
      <c r="E610">
        <v>3</v>
      </c>
      <c r="F610">
        <v>3</v>
      </c>
    </row>
    <row r="611" spans="1:6" ht="17" x14ac:dyDescent="0.25">
      <c r="A611" s="6">
        <v>5996</v>
      </c>
      <c r="B611" t="s">
        <v>122</v>
      </c>
      <c r="C611">
        <v>171</v>
      </c>
      <c r="D611">
        <v>132</v>
      </c>
      <c r="E611">
        <v>3</v>
      </c>
      <c r="F611">
        <v>3</v>
      </c>
    </row>
    <row r="612" spans="1:6" ht="17" x14ac:dyDescent="0.25">
      <c r="A612" s="6">
        <v>5996</v>
      </c>
      <c r="B612" t="s">
        <v>102</v>
      </c>
      <c r="C612">
        <v>78</v>
      </c>
      <c r="D612">
        <v>73</v>
      </c>
      <c r="E612">
        <v>3</v>
      </c>
      <c r="F612">
        <v>3</v>
      </c>
    </row>
    <row r="613" spans="1:6" ht="17" x14ac:dyDescent="0.25">
      <c r="A613" s="6">
        <v>5996</v>
      </c>
      <c r="B613" t="s">
        <v>123</v>
      </c>
      <c r="C613">
        <v>106</v>
      </c>
      <c r="D613">
        <v>73</v>
      </c>
      <c r="E613">
        <v>3</v>
      </c>
      <c r="F613">
        <v>3</v>
      </c>
    </row>
    <row r="614" spans="1:6" ht="17" x14ac:dyDescent="0.25">
      <c r="A614" s="6">
        <v>6044</v>
      </c>
      <c r="B614" t="s">
        <v>100</v>
      </c>
      <c r="C614">
        <v>152</v>
      </c>
      <c r="D614">
        <v>99</v>
      </c>
      <c r="E614">
        <v>3</v>
      </c>
      <c r="F614">
        <v>3</v>
      </c>
    </row>
    <row r="615" spans="1:6" ht="17" x14ac:dyDescent="0.25">
      <c r="A615" s="6">
        <v>6044</v>
      </c>
      <c r="B615" t="s">
        <v>122</v>
      </c>
      <c r="C615">
        <v>164</v>
      </c>
      <c r="D615">
        <v>146</v>
      </c>
      <c r="E615">
        <v>3</v>
      </c>
      <c r="F615">
        <v>3</v>
      </c>
    </row>
    <row r="616" spans="1:6" ht="17" x14ac:dyDescent="0.25">
      <c r="A616" s="6">
        <v>6044</v>
      </c>
      <c r="B616" t="s">
        <v>102</v>
      </c>
      <c r="C616">
        <v>87</v>
      </c>
      <c r="D616">
        <v>75</v>
      </c>
      <c r="E616">
        <v>3</v>
      </c>
      <c r="F616">
        <v>3</v>
      </c>
    </row>
    <row r="617" spans="1:6" ht="17" x14ac:dyDescent="0.25">
      <c r="A617" s="6">
        <v>6044</v>
      </c>
      <c r="B617" t="s">
        <v>123</v>
      </c>
      <c r="C617">
        <v>109</v>
      </c>
      <c r="D617">
        <v>73</v>
      </c>
      <c r="E617">
        <v>3</v>
      </c>
      <c r="F617">
        <v>3</v>
      </c>
    </row>
    <row r="618" spans="1:6" ht="17" x14ac:dyDescent="0.25">
      <c r="A618" s="6">
        <v>6092</v>
      </c>
      <c r="B618" t="s">
        <v>100</v>
      </c>
      <c r="C618">
        <v>128</v>
      </c>
      <c r="D618">
        <v>121</v>
      </c>
      <c r="E618">
        <v>3</v>
      </c>
      <c r="F618">
        <v>3</v>
      </c>
    </row>
    <row r="619" spans="1:6" ht="17" x14ac:dyDescent="0.25">
      <c r="A619" s="6">
        <v>6092</v>
      </c>
      <c r="B619" t="s">
        <v>122</v>
      </c>
      <c r="C619">
        <v>191</v>
      </c>
      <c r="D619">
        <v>159</v>
      </c>
      <c r="E619">
        <v>3</v>
      </c>
      <c r="F619">
        <v>3</v>
      </c>
    </row>
    <row r="620" spans="1:6" ht="17" x14ac:dyDescent="0.25">
      <c r="A620" s="6">
        <v>6092</v>
      </c>
      <c r="B620" t="s">
        <v>102</v>
      </c>
      <c r="C620">
        <v>92</v>
      </c>
      <c r="D620">
        <v>87</v>
      </c>
      <c r="E620">
        <v>3</v>
      </c>
      <c r="F620">
        <v>3</v>
      </c>
    </row>
    <row r="621" spans="1:6" ht="17" x14ac:dyDescent="0.25">
      <c r="A621" s="6">
        <v>6092</v>
      </c>
      <c r="B621" t="s">
        <v>123</v>
      </c>
      <c r="C621">
        <v>95</v>
      </c>
      <c r="D621">
        <v>94</v>
      </c>
      <c r="E621">
        <v>3</v>
      </c>
      <c r="F621">
        <v>3</v>
      </c>
    </row>
    <row r="622" spans="1:6" ht="17" x14ac:dyDescent="0.25">
      <c r="A622" s="6">
        <v>6140</v>
      </c>
      <c r="B622" t="s">
        <v>100</v>
      </c>
      <c r="C622">
        <v>137</v>
      </c>
      <c r="D622">
        <v>103</v>
      </c>
      <c r="E622">
        <v>3</v>
      </c>
      <c r="F622">
        <v>3</v>
      </c>
    </row>
    <row r="623" spans="1:6" ht="17" x14ac:dyDescent="0.25">
      <c r="A623" s="6">
        <v>6140</v>
      </c>
      <c r="B623" t="s">
        <v>122</v>
      </c>
      <c r="C623">
        <v>179</v>
      </c>
      <c r="D623">
        <v>107</v>
      </c>
      <c r="E623">
        <v>3</v>
      </c>
      <c r="F623">
        <v>3</v>
      </c>
    </row>
    <row r="624" spans="1:6" ht="17" x14ac:dyDescent="0.25">
      <c r="A624" s="6">
        <v>6140</v>
      </c>
      <c r="B624" t="s">
        <v>102</v>
      </c>
      <c r="C624">
        <v>95</v>
      </c>
      <c r="D624">
        <v>59</v>
      </c>
      <c r="E624">
        <v>3</v>
      </c>
      <c r="F624">
        <v>3</v>
      </c>
    </row>
    <row r="625" spans="1:6" ht="17" x14ac:dyDescent="0.25">
      <c r="A625" s="6">
        <v>6140</v>
      </c>
      <c r="B625" t="s">
        <v>123</v>
      </c>
      <c r="C625">
        <v>109</v>
      </c>
      <c r="D625">
        <v>78</v>
      </c>
      <c r="E625">
        <v>3</v>
      </c>
      <c r="F625">
        <v>3</v>
      </c>
    </row>
    <row r="626" spans="1:6" ht="17" x14ac:dyDescent="0.25">
      <c r="A626" s="6">
        <v>6188</v>
      </c>
      <c r="B626" t="s">
        <v>100</v>
      </c>
      <c r="C626">
        <v>181</v>
      </c>
      <c r="D626">
        <v>121</v>
      </c>
      <c r="E626">
        <v>3</v>
      </c>
      <c r="F626">
        <v>3</v>
      </c>
    </row>
    <row r="627" spans="1:6" ht="17" x14ac:dyDescent="0.25">
      <c r="A627" s="6">
        <v>6188</v>
      </c>
      <c r="B627" t="s">
        <v>122</v>
      </c>
      <c r="C627">
        <v>182</v>
      </c>
      <c r="D627">
        <v>138</v>
      </c>
      <c r="E627">
        <v>3</v>
      </c>
      <c r="F627">
        <v>3</v>
      </c>
    </row>
    <row r="628" spans="1:6" ht="17" x14ac:dyDescent="0.25">
      <c r="A628" s="6">
        <v>6188</v>
      </c>
      <c r="B628" t="s">
        <v>102</v>
      </c>
      <c r="C628">
        <v>83</v>
      </c>
      <c r="D628">
        <v>74</v>
      </c>
      <c r="E628">
        <v>3</v>
      </c>
      <c r="F628">
        <v>3</v>
      </c>
    </row>
    <row r="629" spans="1:6" ht="17" x14ac:dyDescent="0.25">
      <c r="A629" s="6">
        <v>6188</v>
      </c>
      <c r="B629" t="s">
        <v>123</v>
      </c>
      <c r="C629">
        <v>114</v>
      </c>
      <c r="D629">
        <v>103</v>
      </c>
      <c r="E629">
        <v>3</v>
      </c>
      <c r="F629">
        <v>3</v>
      </c>
    </row>
    <row r="630" spans="1:6" ht="17" x14ac:dyDescent="0.25">
      <c r="A630" s="6">
        <v>6236</v>
      </c>
      <c r="B630" t="s">
        <v>100</v>
      </c>
      <c r="C630">
        <v>176</v>
      </c>
      <c r="D630">
        <v>126</v>
      </c>
      <c r="E630">
        <v>3</v>
      </c>
      <c r="F630">
        <v>3</v>
      </c>
    </row>
    <row r="631" spans="1:6" ht="17" x14ac:dyDescent="0.25">
      <c r="A631" s="6">
        <v>6236</v>
      </c>
      <c r="B631" t="s">
        <v>122</v>
      </c>
      <c r="C631">
        <v>165</v>
      </c>
      <c r="D631">
        <v>127</v>
      </c>
      <c r="E631">
        <v>3</v>
      </c>
      <c r="F631">
        <v>3</v>
      </c>
    </row>
    <row r="632" spans="1:6" ht="17" x14ac:dyDescent="0.25">
      <c r="A632" s="6">
        <v>6236</v>
      </c>
      <c r="B632" t="s">
        <v>102</v>
      </c>
      <c r="C632">
        <v>87</v>
      </c>
      <c r="D632">
        <v>93</v>
      </c>
      <c r="E632">
        <v>3</v>
      </c>
      <c r="F632">
        <v>3</v>
      </c>
    </row>
    <row r="633" spans="1:6" ht="17" x14ac:dyDescent="0.25">
      <c r="A633" s="6">
        <v>6236</v>
      </c>
      <c r="B633" t="s">
        <v>123</v>
      </c>
      <c r="C633">
        <v>115</v>
      </c>
      <c r="D633">
        <v>87</v>
      </c>
      <c r="E633">
        <v>3</v>
      </c>
      <c r="F633">
        <v>3</v>
      </c>
    </row>
    <row r="634" spans="1:6" ht="17" x14ac:dyDescent="0.25">
      <c r="A634" s="6">
        <v>6284</v>
      </c>
      <c r="B634" t="s">
        <v>100</v>
      </c>
      <c r="C634">
        <v>155</v>
      </c>
      <c r="D634">
        <v>144</v>
      </c>
      <c r="E634">
        <v>3</v>
      </c>
      <c r="F634">
        <v>3</v>
      </c>
    </row>
    <row r="635" spans="1:6" ht="17" x14ac:dyDescent="0.25">
      <c r="A635" s="6">
        <v>6284</v>
      </c>
      <c r="B635" t="s">
        <v>122</v>
      </c>
      <c r="C635">
        <v>153</v>
      </c>
      <c r="D635">
        <v>117</v>
      </c>
      <c r="E635">
        <v>3</v>
      </c>
      <c r="F635">
        <v>3</v>
      </c>
    </row>
    <row r="636" spans="1:6" ht="17" x14ac:dyDescent="0.25">
      <c r="A636" s="6">
        <v>6284</v>
      </c>
      <c r="B636" t="s">
        <v>102</v>
      </c>
      <c r="C636">
        <v>105</v>
      </c>
      <c r="D636">
        <v>89</v>
      </c>
      <c r="E636">
        <v>3</v>
      </c>
      <c r="F636">
        <v>3</v>
      </c>
    </row>
    <row r="637" spans="1:6" ht="17" x14ac:dyDescent="0.25">
      <c r="A637" s="6">
        <v>6284</v>
      </c>
      <c r="B637" t="s">
        <v>123</v>
      </c>
      <c r="C637">
        <v>114</v>
      </c>
      <c r="D637">
        <v>102</v>
      </c>
      <c r="E637">
        <v>3</v>
      </c>
      <c r="F637">
        <v>3</v>
      </c>
    </row>
    <row r="638" spans="1:6" ht="17" x14ac:dyDescent="0.25">
      <c r="A638" s="6">
        <v>6332</v>
      </c>
      <c r="B638" t="s">
        <v>100</v>
      </c>
      <c r="C638">
        <v>143</v>
      </c>
      <c r="D638">
        <v>126</v>
      </c>
      <c r="E638">
        <v>3</v>
      </c>
      <c r="F638">
        <v>3</v>
      </c>
    </row>
    <row r="639" spans="1:6" ht="17" x14ac:dyDescent="0.25">
      <c r="A639" s="6">
        <v>6332</v>
      </c>
      <c r="B639" t="s">
        <v>122</v>
      </c>
      <c r="C639">
        <v>196</v>
      </c>
      <c r="D639">
        <v>129</v>
      </c>
      <c r="E639">
        <v>3</v>
      </c>
      <c r="F639">
        <v>3</v>
      </c>
    </row>
    <row r="640" spans="1:6" ht="17" x14ac:dyDescent="0.25">
      <c r="A640" s="6">
        <v>6332</v>
      </c>
      <c r="B640" t="s">
        <v>102</v>
      </c>
      <c r="C640">
        <v>84</v>
      </c>
      <c r="D640">
        <v>69</v>
      </c>
      <c r="E640">
        <v>3</v>
      </c>
      <c r="F640">
        <v>3</v>
      </c>
    </row>
    <row r="641" spans="1:6" ht="17" x14ac:dyDescent="0.25">
      <c r="A641" s="6">
        <v>6332</v>
      </c>
      <c r="B641" t="s">
        <v>123</v>
      </c>
      <c r="C641">
        <v>81</v>
      </c>
      <c r="D641">
        <v>76</v>
      </c>
      <c r="E641">
        <v>3</v>
      </c>
      <c r="F641">
        <v>3</v>
      </c>
    </row>
    <row r="642" spans="1:6" ht="17" x14ac:dyDescent="0.25">
      <c r="A642" s="6">
        <v>6380</v>
      </c>
      <c r="B642" t="s">
        <v>100</v>
      </c>
      <c r="C642">
        <v>134</v>
      </c>
      <c r="D642">
        <v>101</v>
      </c>
      <c r="E642">
        <v>3</v>
      </c>
      <c r="F642">
        <v>3</v>
      </c>
    </row>
    <row r="643" spans="1:6" ht="17" x14ac:dyDescent="0.25">
      <c r="A643" s="6">
        <v>6380</v>
      </c>
      <c r="B643" t="s">
        <v>122</v>
      </c>
      <c r="C643">
        <v>185</v>
      </c>
      <c r="D643">
        <v>118</v>
      </c>
      <c r="E643">
        <v>3</v>
      </c>
      <c r="F643">
        <v>3</v>
      </c>
    </row>
    <row r="644" spans="1:6" ht="17" x14ac:dyDescent="0.25">
      <c r="A644" s="6">
        <v>6380</v>
      </c>
      <c r="B644" t="s">
        <v>102</v>
      </c>
      <c r="C644">
        <v>86</v>
      </c>
      <c r="D644">
        <v>70</v>
      </c>
      <c r="E644">
        <v>3</v>
      </c>
      <c r="F644">
        <v>3</v>
      </c>
    </row>
    <row r="645" spans="1:6" ht="17" x14ac:dyDescent="0.25">
      <c r="A645" s="6">
        <v>6380</v>
      </c>
      <c r="B645" t="s">
        <v>123</v>
      </c>
      <c r="C645">
        <v>104</v>
      </c>
      <c r="D645">
        <v>75</v>
      </c>
      <c r="E645">
        <v>3</v>
      </c>
      <c r="F645">
        <v>3</v>
      </c>
    </row>
    <row r="646" spans="1:6" ht="17" x14ac:dyDescent="0.25">
      <c r="A646" s="6">
        <v>6428</v>
      </c>
      <c r="B646" t="s">
        <v>100</v>
      </c>
      <c r="C646">
        <v>153</v>
      </c>
      <c r="D646">
        <v>115</v>
      </c>
      <c r="E646">
        <v>3</v>
      </c>
      <c r="F646">
        <v>3</v>
      </c>
    </row>
    <row r="647" spans="1:6" ht="17" x14ac:dyDescent="0.25">
      <c r="A647" s="6">
        <v>6428</v>
      </c>
      <c r="B647" t="s">
        <v>122</v>
      </c>
      <c r="C647">
        <v>167</v>
      </c>
      <c r="D647">
        <v>132</v>
      </c>
      <c r="E647">
        <v>3</v>
      </c>
      <c r="F647">
        <v>3</v>
      </c>
    </row>
    <row r="648" spans="1:6" ht="17" x14ac:dyDescent="0.25">
      <c r="A648" s="6">
        <v>6428</v>
      </c>
      <c r="B648" t="s">
        <v>102</v>
      </c>
      <c r="C648">
        <v>101</v>
      </c>
      <c r="D648">
        <v>90</v>
      </c>
      <c r="E648">
        <v>3</v>
      </c>
      <c r="F648">
        <v>3</v>
      </c>
    </row>
    <row r="649" spans="1:6" ht="17" x14ac:dyDescent="0.25">
      <c r="A649" s="6">
        <v>6428</v>
      </c>
      <c r="B649" t="s">
        <v>123</v>
      </c>
      <c r="C649">
        <v>95</v>
      </c>
      <c r="D649">
        <v>83</v>
      </c>
      <c r="E649">
        <v>3</v>
      </c>
      <c r="F649">
        <v>3</v>
      </c>
    </row>
    <row r="650" spans="1:6" ht="17" x14ac:dyDescent="0.25">
      <c r="A650" s="6">
        <v>6476</v>
      </c>
      <c r="B650" t="s">
        <v>100</v>
      </c>
      <c r="C650">
        <v>142</v>
      </c>
      <c r="D650">
        <v>103</v>
      </c>
      <c r="E650">
        <v>3</v>
      </c>
      <c r="F650">
        <v>3</v>
      </c>
    </row>
    <row r="651" spans="1:6" ht="17" x14ac:dyDescent="0.25">
      <c r="A651" s="6">
        <v>6476</v>
      </c>
      <c r="B651" t="s">
        <v>122</v>
      </c>
      <c r="C651">
        <v>191</v>
      </c>
      <c r="D651">
        <v>166</v>
      </c>
      <c r="E651">
        <v>3</v>
      </c>
      <c r="F651">
        <v>3</v>
      </c>
    </row>
    <row r="652" spans="1:6" ht="17" x14ac:dyDescent="0.25">
      <c r="A652" s="6">
        <v>6476</v>
      </c>
      <c r="B652" t="s">
        <v>102</v>
      </c>
      <c r="C652">
        <v>112</v>
      </c>
      <c r="D652">
        <v>74</v>
      </c>
      <c r="E652">
        <v>3</v>
      </c>
      <c r="F652">
        <v>3</v>
      </c>
    </row>
    <row r="653" spans="1:6" ht="17" x14ac:dyDescent="0.25">
      <c r="A653" s="6">
        <v>6476</v>
      </c>
      <c r="B653" t="s">
        <v>123</v>
      </c>
      <c r="C653">
        <v>105</v>
      </c>
      <c r="D653">
        <v>91</v>
      </c>
      <c r="E653">
        <v>3</v>
      </c>
      <c r="F653">
        <v>3</v>
      </c>
    </row>
    <row r="654" spans="1:6" ht="17" x14ac:dyDescent="0.25">
      <c r="A654" s="6">
        <v>6524</v>
      </c>
      <c r="B654" t="s">
        <v>100</v>
      </c>
      <c r="C654">
        <v>106</v>
      </c>
      <c r="D654">
        <v>80</v>
      </c>
      <c r="E654">
        <v>3</v>
      </c>
      <c r="F654">
        <v>3</v>
      </c>
    </row>
    <row r="655" spans="1:6" ht="17" x14ac:dyDescent="0.25">
      <c r="A655" s="6">
        <v>6524</v>
      </c>
      <c r="B655" t="s">
        <v>122</v>
      </c>
      <c r="C655">
        <v>149</v>
      </c>
      <c r="D655">
        <v>126</v>
      </c>
      <c r="E655">
        <v>3</v>
      </c>
      <c r="F655">
        <v>3</v>
      </c>
    </row>
    <row r="656" spans="1:6" ht="17" x14ac:dyDescent="0.25">
      <c r="A656" s="6">
        <v>6524</v>
      </c>
      <c r="B656" t="s">
        <v>102</v>
      </c>
      <c r="C656">
        <v>62</v>
      </c>
      <c r="D656">
        <v>62</v>
      </c>
      <c r="E656">
        <v>3</v>
      </c>
      <c r="F656">
        <v>3</v>
      </c>
    </row>
    <row r="657" spans="1:6" ht="17" x14ac:dyDescent="0.25">
      <c r="A657" s="6">
        <v>6524</v>
      </c>
      <c r="B657" t="s">
        <v>123</v>
      </c>
      <c r="C657">
        <v>100</v>
      </c>
      <c r="D657">
        <v>77</v>
      </c>
      <c r="E657">
        <v>3</v>
      </c>
      <c r="F657">
        <v>3</v>
      </c>
    </row>
    <row r="658" spans="1:6" ht="17" x14ac:dyDescent="0.25">
      <c r="A658" s="6">
        <v>6572</v>
      </c>
      <c r="B658" t="s">
        <v>100</v>
      </c>
      <c r="C658">
        <v>137</v>
      </c>
      <c r="D658">
        <v>125</v>
      </c>
      <c r="E658">
        <v>3</v>
      </c>
      <c r="F658">
        <v>3</v>
      </c>
    </row>
    <row r="659" spans="1:6" ht="17" x14ac:dyDescent="0.25">
      <c r="A659" s="6">
        <v>6572</v>
      </c>
      <c r="B659" t="s">
        <v>122</v>
      </c>
      <c r="C659">
        <v>182</v>
      </c>
      <c r="D659">
        <v>137</v>
      </c>
      <c r="E659">
        <v>3</v>
      </c>
      <c r="F659">
        <v>3</v>
      </c>
    </row>
    <row r="660" spans="1:6" ht="17" x14ac:dyDescent="0.25">
      <c r="A660" s="6">
        <v>6572</v>
      </c>
      <c r="B660" t="s">
        <v>102</v>
      </c>
      <c r="C660">
        <v>103</v>
      </c>
      <c r="D660">
        <v>97</v>
      </c>
      <c r="E660">
        <v>3</v>
      </c>
      <c r="F660">
        <v>3</v>
      </c>
    </row>
    <row r="661" spans="1:6" ht="17" x14ac:dyDescent="0.25">
      <c r="A661" s="6">
        <v>6572</v>
      </c>
      <c r="B661" t="s">
        <v>123</v>
      </c>
      <c r="C661">
        <v>91</v>
      </c>
      <c r="D661">
        <v>85</v>
      </c>
      <c r="E661">
        <v>3</v>
      </c>
      <c r="F661">
        <v>3</v>
      </c>
    </row>
    <row r="662" spans="1:6" ht="17" x14ac:dyDescent="0.25">
      <c r="A662" s="6">
        <v>6620</v>
      </c>
      <c r="B662" t="s">
        <v>100</v>
      </c>
      <c r="C662">
        <v>165</v>
      </c>
      <c r="D662">
        <v>137</v>
      </c>
      <c r="E662">
        <v>3</v>
      </c>
      <c r="F662">
        <v>3</v>
      </c>
    </row>
    <row r="663" spans="1:6" ht="17" x14ac:dyDescent="0.25">
      <c r="A663" s="6">
        <v>6620</v>
      </c>
      <c r="B663" t="s">
        <v>122</v>
      </c>
      <c r="C663">
        <v>182</v>
      </c>
      <c r="D663">
        <v>130</v>
      </c>
      <c r="E663">
        <v>3</v>
      </c>
      <c r="F663">
        <v>3</v>
      </c>
    </row>
    <row r="664" spans="1:6" ht="17" x14ac:dyDescent="0.25">
      <c r="A664" s="6">
        <v>6620</v>
      </c>
      <c r="B664" t="s">
        <v>102</v>
      </c>
      <c r="C664">
        <v>88</v>
      </c>
      <c r="D664">
        <v>64</v>
      </c>
      <c r="E664">
        <v>3</v>
      </c>
      <c r="F664">
        <v>3</v>
      </c>
    </row>
    <row r="665" spans="1:6" ht="17" x14ac:dyDescent="0.25">
      <c r="A665" s="6">
        <v>6620</v>
      </c>
      <c r="B665" t="s">
        <v>123</v>
      </c>
      <c r="C665">
        <v>131</v>
      </c>
      <c r="D665">
        <v>106</v>
      </c>
      <c r="E665">
        <v>3</v>
      </c>
      <c r="F665">
        <v>3</v>
      </c>
    </row>
    <row r="666" spans="1:6" ht="17" x14ac:dyDescent="0.25">
      <c r="A666" s="6">
        <v>6668</v>
      </c>
      <c r="B666" t="s">
        <v>100</v>
      </c>
      <c r="C666">
        <v>132</v>
      </c>
      <c r="D666">
        <v>102</v>
      </c>
      <c r="E666">
        <v>3</v>
      </c>
      <c r="F666">
        <v>3</v>
      </c>
    </row>
    <row r="667" spans="1:6" ht="17" x14ac:dyDescent="0.25">
      <c r="A667" s="6">
        <v>6668</v>
      </c>
      <c r="B667" t="s">
        <v>122</v>
      </c>
      <c r="C667">
        <v>218</v>
      </c>
      <c r="D667">
        <v>180</v>
      </c>
      <c r="E667">
        <v>3</v>
      </c>
      <c r="F667">
        <v>3</v>
      </c>
    </row>
    <row r="668" spans="1:6" ht="17" x14ac:dyDescent="0.25">
      <c r="A668" s="6">
        <v>6668</v>
      </c>
      <c r="B668" t="s">
        <v>102</v>
      </c>
      <c r="C668">
        <v>83</v>
      </c>
      <c r="D668">
        <v>63</v>
      </c>
      <c r="E668">
        <v>3</v>
      </c>
      <c r="F668">
        <v>3</v>
      </c>
    </row>
    <row r="669" spans="1:6" ht="17" x14ac:dyDescent="0.25">
      <c r="A669" s="6">
        <v>6668</v>
      </c>
      <c r="B669" t="s">
        <v>123</v>
      </c>
      <c r="C669">
        <v>126</v>
      </c>
      <c r="D669">
        <v>87</v>
      </c>
      <c r="E669">
        <v>3</v>
      </c>
      <c r="F669">
        <v>3</v>
      </c>
    </row>
    <row r="670" spans="1:6" ht="17" x14ac:dyDescent="0.25">
      <c r="A670" s="6">
        <v>6716</v>
      </c>
      <c r="B670" t="s">
        <v>100</v>
      </c>
      <c r="C670">
        <v>137</v>
      </c>
      <c r="D670">
        <v>121</v>
      </c>
      <c r="E670">
        <v>3</v>
      </c>
      <c r="F670">
        <v>3</v>
      </c>
    </row>
    <row r="671" spans="1:6" ht="17" x14ac:dyDescent="0.25">
      <c r="A671" s="6">
        <v>6716</v>
      </c>
      <c r="B671" t="s">
        <v>122</v>
      </c>
      <c r="C671">
        <v>169</v>
      </c>
      <c r="D671">
        <v>172</v>
      </c>
      <c r="E671">
        <v>3</v>
      </c>
      <c r="F671">
        <v>3</v>
      </c>
    </row>
    <row r="672" spans="1:6" ht="17" x14ac:dyDescent="0.25">
      <c r="A672" s="6">
        <v>6716</v>
      </c>
      <c r="B672" t="s">
        <v>102</v>
      </c>
      <c r="C672">
        <v>99</v>
      </c>
      <c r="D672">
        <v>72</v>
      </c>
      <c r="E672">
        <v>3</v>
      </c>
      <c r="F672">
        <v>3</v>
      </c>
    </row>
    <row r="673" spans="1:6" ht="17" x14ac:dyDescent="0.25">
      <c r="A673" s="6">
        <v>6716</v>
      </c>
      <c r="B673" t="s">
        <v>123</v>
      </c>
      <c r="C673">
        <v>106</v>
      </c>
      <c r="D673">
        <v>102</v>
      </c>
      <c r="E673">
        <v>3</v>
      </c>
      <c r="F673">
        <v>3</v>
      </c>
    </row>
    <row r="674" spans="1:6" ht="17" x14ac:dyDescent="0.25">
      <c r="A674" s="6">
        <v>6764</v>
      </c>
      <c r="B674" t="s">
        <v>100</v>
      </c>
      <c r="C674">
        <v>170</v>
      </c>
      <c r="D674">
        <v>94</v>
      </c>
      <c r="E674">
        <v>3</v>
      </c>
      <c r="F674">
        <v>3</v>
      </c>
    </row>
    <row r="675" spans="1:6" ht="17" x14ac:dyDescent="0.25">
      <c r="A675" s="6">
        <v>6764</v>
      </c>
      <c r="B675" t="s">
        <v>122</v>
      </c>
      <c r="C675">
        <v>168</v>
      </c>
      <c r="D675">
        <v>159</v>
      </c>
      <c r="E675">
        <v>3</v>
      </c>
      <c r="F675">
        <v>3</v>
      </c>
    </row>
    <row r="676" spans="1:6" ht="17" x14ac:dyDescent="0.25">
      <c r="A676" s="6">
        <v>6764</v>
      </c>
      <c r="B676" t="s">
        <v>102</v>
      </c>
      <c r="C676">
        <v>94</v>
      </c>
      <c r="D676">
        <v>73</v>
      </c>
      <c r="E676">
        <v>3</v>
      </c>
      <c r="F676">
        <v>3</v>
      </c>
    </row>
    <row r="677" spans="1:6" ht="17" x14ac:dyDescent="0.25">
      <c r="A677" s="6">
        <v>6764</v>
      </c>
      <c r="B677" t="s">
        <v>123</v>
      </c>
      <c r="C677">
        <v>108</v>
      </c>
      <c r="D677">
        <v>88</v>
      </c>
      <c r="E677">
        <v>3</v>
      </c>
      <c r="F677">
        <v>3</v>
      </c>
    </row>
    <row r="678" spans="1:6" ht="17" x14ac:dyDescent="0.25">
      <c r="A678" s="6">
        <v>6812</v>
      </c>
      <c r="B678" t="s">
        <v>100</v>
      </c>
      <c r="C678">
        <v>135</v>
      </c>
      <c r="D678">
        <v>105</v>
      </c>
      <c r="E678">
        <v>3</v>
      </c>
      <c r="F678">
        <v>3</v>
      </c>
    </row>
    <row r="679" spans="1:6" ht="17" x14ac:dyDescent="0.25">
      <c r="A679" s="6">
        <v>6812</v>
      </c>
      <c r="B679" t="s">
        <v>122</v>
      </c>
      <c r="C679">
        <v>162</v>
      </c>
      <c r="D679">
        <v>128</v>
      </c>
      <c r="E679">
        <v>3</v>
      </c>
      <c r="F679">
        <v>3</v>
      </c>
    </row>
    <row r="680" spans="1:6" ht="17" x14ac:dyDescent="0.25">
      <c r="A680" s="6">
        <v>6812</v>
      </c>
      <c r="B680" t="s">
        <v>102</v>
      </c>
      <c r="C680">
        <v>110</v>
      </c>
      <c r="D680">
        <v>68</v>
      </c>
      <c r="E680">
        <v>3</v>
      </c>
      <c r="F680">
        <v>3</v>
      </c>
    </row>
    <row r="681" spans="1:6" ht="17" x14ac:dyDescent="0.25">
      <c r="A681" s="6">
        <v>6812</v>
      </c>
      <c r="B681" t="s">
        <v>123</v>
      </c>
      <c r="C681">
        <v>98</v>
      </c>
      <c r="D681">
        <v>90</v>
      </c>
      <c r="E681">
        <v>3</v>
      </c>
      <c r="F681">
        <v>3</v>
      </c>
    </row>
    <row r="682" spans="1:6" ht="17" x14ac:dyDescent="0.25">
      <c r="A682" s="6">
        <v>6860</v>
      </c>
      <c r="B682" t="s">
        <v>100</v>
      </c>
      <c r="C682">
        <v>162</v>
      </c>
      <c r="D682">
        <v>119</v>
      </c>
      <c r="E682">
        <v>3</v>
      </c>
      <c r="F682">
        <v>3</v>
      </c>
    </row>
    <row r="683" spans="1:6" ht="17" x14ac:dyDescent="0.25">
      <c r="A683" s="6">
        <v>6860</v>
      </c>
      <c r="B683" t="s">
        <v>122</v>
      </c>
      <c r="C683">
        <v>185</v>
      </c>
      <c r="D683">
        <v>184</v>
      </c>
      <c r="E683">
        <v>3</v>
      </c>
      <c r="F683">
        <v>3</v>
      </c>
    </row>
    <row r="684" spans="1:6" ht="17" x14ac:dyDescent="0.25">
      <c r="A684" s="6">
        <v>6860</v>
      </c>
      <c r="B684" t="s">
        <v>102</v>
      </c>
      <c r="C684">
        <v>84</v>
      </c>
      <c r="D684">
        <v>99</v>
      </c>
      <c r="E684">
        <v>3</v>
      </c>
      <c r="F684">
        <v>3</v>
      </c>
    </row>
    <row r="685" spans="1:6" ht="17" x14ac:dyDescent="0.25">
      <c r="A685" s="6">
        <v>6860</v>
      </c>
      <c r="B685" t="s">
        <v>123</v>
      </c>
      <c r="C685">
        <v>116</v>
      </c>
      <c r="D685">
        <v>95</v>
      </c>
      <c r="E685">
        <v>3</v>
      </c>
      <c r="F685">
        <v>3</v>
      </c>
    </row>
    <row r="686" spans="1:6" ht="17" x14ac:dyDescent="0.25">
      <c r="A686" s="6">
        <v>6908</v>
      </c>
      <c r="B686" t="s">
        <v>100</v>
      </c>
      <c r="C686">
        <v>152</v>
      </c>
      <c r="D686">
        <v>144</v>
      </c>
      <c r="E686">
        <v>3</v>
      </c>
      <c r="F686">
        <v>3</v>
      </c>
    </row>
    <row r="687" spans="1:6" ht="17" x14ac:dyDescent="0.25">
      <c r="A687" s="6">
        <v>6908</v>
      </c>
      <c r="B687" t="s">
        <v>122</v>
      </c>
      <c r="C687">
        <v>212</v>
      </c>
      <c r="D687">
        <v>146</v>
      </c>
      <c r="E687">
        <v>3</v>
      </c>
      <c r="F687">
        <v>3</v>
      </c>
    </row>
    <row r="688" spans="1:6" ht="17" x14ac:dyDescent="0.25">
      <c r="A688" s="6">
        <v>6908</v>
      </c>
      <c r="B688" t="s">
        <v>102</v>
      </c>
      <c r="C688">
        <v>107</v>
      </c>
      <c r="D688">
        <v>87</v>
      </c>
      <c r="E688">
        <v>3</v>
      </c>
      <c r="F688">
        <v>3</v>
      </c>
    </row>
    <row r="689" spans="1:6" ht="17" x14ac:dyDescent="0.25">
      <c r="A689" s="6">
        <v>6908</v>
      </c>
      <c r="B689" t="s">
        <v>123</v>
      </c>
      <c r="C689">
        <v>103</v>
      </c>
      <c r="D689">
        <v>81</v>
      </c>
      <c r="E689">
        <v>3</v>
      </c>
      <c r="F689">
        <v>3</v>
      </c>
    </row>
    <row r="690" spans="1:6" ht="17" x14ac:dyDescent="0.25">
      <c r="A690" s="6">
        <v>6956</v>
      </c>
      <c r="B690" t="s">
        <v>100</v>
      </c>
      <c r="C690">
        <v>159</v>
      </c>
      <c r="D690">
        <v>101</v>
      </c>
      <c r="E690">
        <v>3</v>
      </c>
      <c r="F690">
        <v>3</v>
      </c>
    </row>
    <row r="691" spans="1:6" ht="17" x14ac:dyDescent="0.25">
      <c r="A691" s="6">
        <v>6956</v>
      </c>
      <c r="B691" t="s">
        <v>122</v>
      </c>
      <c r="C691">
        <v>200</v>
      </c>
      <c r="D691">
        <v>137</v>
      </c>
      <c r="E691">
        <v>3</v>
      </c>
      <c r="F691">
        <v>3</v>
      </c>
    </row>
    <row r="692" spans="1:6" ht="17" x14ac:dyDescent="0.25">
      <c r="A692" s="6">
        <v>6956</v>
      </c>
      <c r="B692" t="s">
        <v>102</v>
      </c>
      <c r="C692">
        <v>82</v>
      </c>
      <c r="D692">
        <v>84</v>
      </c>
      <c r="E692">
        <v>3</v>
      </c>
      <c r="F692">
        <v>3</v>
      </c>
    </row>
    <row r="693" spans="1:6" ht="17" x14ac:dyDescent="0.25">
      <c r="A693" s="6">
        <v>6956</v>
      </c>
      <c r="B693" t="s">
        <v>123</v>
      </c>
      <c r="C693">
        <v>96</v>
      </c>
      <c r="D693">
        <v>71</v>
      </c>
      <c r="E693">
        <v>3</v>
      </c>
      <c r="F693">
        <v>3</v>
      </c>
    </row>
    <row r="694" spans="1:6" ht="17" x14ac:dyDescent="0.25">
      <c r="A694" s="6">
        <v>7004</v>
      </c>
      <c r="B694" t="s">
        <v>100</v>
      </c>
      <c r="C694">
        <v>153</v>
      </c>
      <c r="D694">
        <v>127</v>
      </c>
      <c r="E694">
        <v>3</v>
      </c>
      <c r="F694">
        <v>3</v>
      </c>
    </row>
    <row r="695" spans="1:6" ht="17" x14ac:dyDescent="0.25">
      <c r="A695" s="6">
        <v>7004</v>
      </c>
      <c r="B695" t="s">
        <v>122</v>
      </c>
      <c r="C695">
        <v>217</v>
      </c>
      <c r="D695">
        <v>155</v>
      </c>
      <c r="E695">
        <v>3</v>
      </c>
      <c r="F695">
        <v>3</v>
      </c>
    </row>
    <row r="696" spans="1:6" ht="17" x14ac:dyDescent="0.25">
      <c r="A696" s="6">
        <v>7004</v>
      </c>
      <c r="B696" t="s">
        <v>102</v>
      </c>
      <c r="C696">
        <v>107</v>
      </c>
      <c r="D696">
        <v>77</v>
      </c>
      <c r="E696">
        <v>3</v>
      </c>
      <c r="F696">
        <v>3</v>
      </c>
    </row>
    <row r="697" spans="1:6" ht="17" x14ac:dyDescent="0.25">
      <c r="A697" s="6">
        <v>7004</v>
      </c>
      <c r="B697" t="s">
        <v>123</v>
      </c>
      <c r="C697">
        <v>129</v>
      </c>
      <c r="D697">
        <v>95</v>
      </c>
      <c r="E697">
        <v>3</v>
      </c>
      <c r="F697">
        <v>3</v>
      </c>
    </row>
    <row r="698" spans="1:6" ht="17" x14ac:dyDescent="0.25">
      <c r="A698" s="6">
        <v>7052</v>
      </c>
      <c r="B698" t="s">
        <v>100</v>
      </c>
      <c r="C698">
        <v>150</v>
      </c>
      <c r="D698">
        <v>100</v>
      </c>
      <c r="E698">
        <v>3</v>
      </c>
      <c r="F698">
        <v>3</v>
      </c>
    </row>
    <row r="699" spans="1:6" ht="17" x14ac:dyDescent="0.25">
      <c r="A699" s="6">
        <v>7052</v>
      </c>
      <c r="B699" t="s">
        <v>122</v>
      </c>
      <c r="C699">
        <v>196</v>
      </c>
      <c r="D699">
        <v>182</v>
      </c>
      <c r="E699">
        <v>3</v>
      </c>
      <c r="F699">
        <v>3</v>
      </c>
    </row>
    <row r="700" spans="1:6" ht="17" x14ac:dyDescent="0.25">
      <c r="A700" s="6">
        <v>7052</v>
      </c>
      <c r="B700" t="s">
        <v>102</v>
      </c>
      <c r="C700">
        <v>81</v>
      </c>
      <c r="D700">
        <v>59</v>
      </c>
      <c r="E700">
        <v>3</v>
      </c>
      <c r="F700">
        <v>3</v>
      </c>
    </row>
    <row r="701" spans="1:6" ht="17" x14ac:dyDescent="0.25">
      <c r="A701" s="6">
        <v>7052</v>
      </c>
      <c r="B701" t="s">
        <v>123</v>
      </c>
      <c r="C701">
        <v>87</v>
      </c>
      <c r="D701">
        <v>77</v>
      </c>
      <c r="E701">
        <v>3</v>
      </c>
      <c r="F701">
        <v>3</v>
      </c>
    </row>
    <row r="702" spans="1:6" ht="17" x14ac:dyDescent="0.25">
      <c r="A702" s="6">
        <v>7100</v>
      </c>
      <c r="B702" t="s">
        <v>100</v>
      </c>
      <c r="C702">
        <v>150</v>
      </c>
      <c r="D702">
        <v>100</v>
      </c>
      <c r="E702">
        <v>3</v>
      </c>
      <c r="F702">
        <v>3</v>
      </c>
    </row>
    <row r="703" spans="1:6" ht="17" x14ac:dyDescent="0.25">
      <c r="A703" s="6">
        <v>7100</v>
      </c>
      <c r="B703" t="s">
        <v>122</v>
      </c>
      <c r="C703">
        <v>196</v>
      </c>
      <c r="D703">
        <v>182</v>
      </c>
      <c r="E703">
        <v>3</v>
      </c>
      <c r="F703">
        <v>3</v>
      </c>
    </row>
    <row r="704" spans="1:6" ht="17" x14ac:dyDescent="0.25">
      <c r="A704" s="6">
        <v>7100</v>
      </c>
      <c r="B704" t="s">
        <v>102</v>
      </c>
      <c r="C704">
        <v>81</v>
      </c>
      <c r="D704">
        <v>59</v>
      </c>
      <c r="E704">
        <v>3</v>
      </c>
      <c r="F704">
        <v>3</v>
      </c>
    </row>
    <row r="705" spans="1:6" ht="17" x14ac:dyDescent="0.25">
      <c r="A705" s="6">
        <v>7100</v>
      </c>
      <c r="B705" t="s">
        <v>123</v>
      </c>
      <c r="C705">
        <v>87</v>
      </c>
      <c r="D705">
        <v>77</v>
      </c>
      <c r="E705">
        <v>3</v>
      </c>
      <c r="F705">
        <v>3</v>
      </c>
    </row>
    <row r="706" spans="1:6" ht="17" x14ac:dyDescent="0.25">
      <c r="A706" s="6">
        <v>7148</v>
      </c>
      <c r="B706" t="s">
        <v>100</v>
      </c>
      <c r="C706">
        <v>168</v>
      </c>
      <c r="D706">
        <v>129</v>
      </c>
      <c r="E706">
        <v>3</v>
      </c>
      <c r="F706">
        <v>3</v>
      </c>
    </row>
    <row r="707" spans="1:6" ht="17" x14ac:dyDescent="0.25">
      <c r="A707" s="6">
        <v>7148</v>
      </c>
      <c r="B707" t="s">
        <v>122</v>
      </c>
      <c r="C707">
        <v>203</v>
      </c>
      <c r="D707">
        <v>139</v>
      </c>
      <c r="E707">
        <v>3</v>
      </c>
      <c r="F707">
        <v>3</v>
      </c>
    </row>
    <row r="708" spans="1:6" ht="17" x14ac:dyDescent="0.25">
      <c r="A708" s="6">
        <v>7148</v>
      </c>
      <c r="B708" t="s">
        <v>102</v>
      </c>
      <c r="C708">
        <v>81</v>
      </c>
      <c r="D708">
        <v>100</v>
      </c>
      <c r="E708">
        <v>3</v>
      </c>
      <c r="F708">
        <v>3</v>
      </c>
    </row>
    <row r="709" spans="1:6" ht="17" x14ac:dyDescent="0.25">
      <c r="A709" s="6">
        <v>7148</v>
      </c>
      <c r="B709" t="s">
        <v>123</v>
      </c>
      <c r="C709">
        <v>106</v>
      </c>
      <c r="D709">
        <v>68</v>
      </c>
      <c r="E709">
        <v>3</v>
      </c>
      <c r="F709">
        <v>3</v>
      </c>
    </row>
    <row r="710" spans="1:6" ht="17" x14ac:dyDescent="0.25">
      <c r="A710" s="6">
        <v>7196</v>
      </c>
      <c r="B710" t="s">
        <v>100</v>
      </c>
      <c r="C710">
        <v>157</v>
      </c>
      <c r="D710">
        <v>112</v>
      </c>
      <c r="E710">
        <v>3</v>
      </c>
      <c r="F710">
        <v>3</v>
      </c>
    </row>
    <row r="711" spans="1:6" ht="17" x14ac:dyDescent="0.25">
      <c r="A711" s="6">
        <v>7196</v>
      </c>
      <c r="B711" t="s">
        <v>122</v>
      </c>
      <c r="C711">
        <v>175</v>
      </c>
      <c r="D711">
        <v>141</v>
      </c>
      <c r="E711">
        <v>3</v>
      </c>
      <c r="F711">
        <v>3</v>
      </c>
    </row>
    <row r="712" spans="1:6" ht="17" x14ac:dyDescent="0.25">
      <c r="A712" s="6">
        <v>7196</v>
      </c>
      <c r="B712" t="s">
        <v>102</v>
      </c>
      <c r="C712">
        <v>77</v>
      </c>
      <c r="D712">
        <v>69</v>
      </c>
      <c r="E712">
        <v>3</v>
      </c>
      <c r="F712">
        <v>3</v>
      </c>
    </row>
    <row r="713" spans="1:6" ht="17" x14ac:dyDescent="0.25">
      <c r="A713" s="6">
        <v>7196</v>
      </c>
      <c r="B713" t="s">
        <v>123</v>
      </c>
      <c r="C713">
        <v>117</v>
      </c>
      <c r="D713">
        <v>71</v>
      </c>
      <c r="E713">
        <v>3</v>
      </c>
      <c r="F713">
        <v>3</v>
      </c>
    </row>
    <row r="714" spans="1:6" ht="17" x14ac:dyDescent="0.25">
      <c r="A714" s="6">
        <v>7244</v>
      </c>
      <c r="B714" t="s">
        <v>100</v>
      </c>
      <c r="C714">
        <v>131</v>
      </c>
      <c r="D714">
        <v>141</v>
      </c>
      <c r="E714">
        <v>3</v>
      </c>
      <c r="F714">
        <v>3</v>
      </c>
    </row>
    <row r="715" spans="1:6" ht="17" x14ac:dyDescent="0.25">
      <c r="A715" s="6">
        <v>7244</v>
      </c>
      <c r="B715" t="s">
        <v>122</v>
      </c>
      <c r="C715">
        <v>170</v>
      </c>
      <c r="D715">
        <v>152</v>
      </c>
      <c r="E715">
        <v>3</v>
      </c>
      <c r="F715">
        <v>3</v>
      </c>
    </row>
    <row r="716" spans="1:6" ht="17" x14ac:dyDescent="0.25">
      <c r="A716" s="6">
        <v>7244</v>
      </c>
      <c r="B716" t="s">
        <v>102</v>
      </c>
      <c r="C716">
        <v>112</v>
      </c>
      <c r="D716">
        <v>83</v>
      </c>
      <c r="E716">
        <v>3</v>
      </c>
      <c r="F716">
        <v>3</v>
      </c>
    </row>
    <row r="717" spans="1:6" ht="17" x14ac:dyDescent="0.25">
      <c r="A717" s="6">
        <v>7244</v>
      </c>
      <c r="B717" t="s">
        <v>123</v>
      </c>
      <c r="C717">
        <v>101</v>
      </c>
      <c r="D717">
        <v>88</v>
      </c>
      <c r="E717">
        <v>3</v>
      </c>
      <c r="F717">
        <v>3</v>
      </c>
    </row>
    <row r="718" spans="1:6" ht="17" x14ac:dyDescent="0.25">
      <c r="A718" s="6">
        <v>7292</v>
      </c>
      <c r="B718" t="s">
        <v>100</v>
      </c>
      <c r="C718">
        <v>167</v>
      </c>
      <c r="D718">
        <v>135</v>
      </c>
      <c r="E718">
        <v>3</v>
      </c>
      <c r="F718">
        <v>3</v>
      </c>
    </row>
    <row r="719" spans="1:6" ht="17" x14ac:dyDescent="0.25">
      <c r="A719" s="6">
        <v>7292</v>
      </c>
      <c r="B719" t="s">
        <v>122</v>
      </c>
      <c r="C719">
        <v>196</v>
      </c>
      <c r="D719">
        <v>175</v>
      </c>
      <c r="E719">
        <v>3</v>
      </c>
      <c r="F719">
        <v>3</v>
      </c>
    </row>
    <row r="720" spans="1:6" ht="17" x14ac:dyDescent="0.25">
      <c r="A720" s="6">
        <v>7292</v>
      </c>
      <c r="B720" t="s">
        <v>102</v>
      </c>
      <c r="C720">
        <v>118</v>
      </c>
      <c r="D720">
        <v>88</v>
      </c>
      <c r="E720">
        <v>3</v>
      </c>
      <c r="F720">
        <v>3</v>
      </c>
    </row>
    <row r="721" spans="1:6" ht="17" x14ac:dyDescent="0.25">
      <c r="A721" s="6">
        <v>7292</v>
      </c>
      <c r="B721" t="s">
        <v>123</v>
      </c>
      <c r="C721">
        <v>115</v>
      </c>
      <c r="D721">
        <v>76</v>
      </c>
      <c r="E721">
        <v>3</v>
      </c>
      <c r="F721">
        <v>3</v>
      </c>
    </row>
    <row r="722" spans="1:6" ht="17" x14ac:dyDescent="0.25">
      <c r="A722" s="6">
        <v>7340</v>
      </c>
      <c r="B722" t="s">
        <v>100</v>
      </c>
      <c r="C722">
        <v>161</v>
      </c>
      <c r="D722">
        <v>135</v>
      </c>
      <c r="E722">
        <v>3</v>
      </c>
      <c r="F722">
        <v>3</v>
      </c>
    </row>
    <row r="723" spans="1:6" ht="17" x14ac:dyDescent="0.25">
      <c r="A723" s="6">
        <v>7340</v>
      </c>
      <c r="B723" t="s">
        <v>122</v>
      </c>
      <c r="C723">
        <v>183</v>
      </c>
      <c r="D723">
        <v>139</v>
      </c>
      <c r="E723">
        <v>3</v>
      </c>
      <c r="F723">
        <v>3</v>
      </c>
    </row>
    <row r="724" spans="1:6" ht="17" x14ac:dyDescent="0.25">
      <c r="A724" s="6">
        <v>7340</v>
      </c>
      <c r="B724" t="s">
        <v>102</v>
      </c>
      <c r="C724">
        <v>91</v>
      </c>
      <c r="D724">
        <v>65</v>
      </c>
      <c r="E724">
        <v>3</v>
      </c>
      <c r="F724">
        <v>3</v>
      </c>
    </row>
    <row r="725" spans="1:6" ht="17" x14ac:dyDescent="0.25">
      <c r="A725" s="6">
        <v>7340</v>
      </c>
      <c r="B725" t="s">
        <v>123</v>
      </c>
      <c r="C725">
        <v>89</v>
      </c>
      <c r="D725">
        <v>64</v>
      </c>
      <c r="E725">
        <v>3</v>
      </c>
      <c r="F725">
        <v>3</v>
      </c>
    </row>
    <row r="726" spans="1:6" ht="17" x14ac:dyDescent="0.25">
      <c r="A726" s="6">
        <v>7388</v>
      </c>
      <c r="B726" t="s">
        <v>100</v>
      </c>
      <c r="C726">
        <v>114</v>
      </c>
      <c r="D726">
        <v>98</v>
      </c>
      <c r="E726">
        <v>3</v>
      </c>
      <c r="F726">
        <v>3</v>
      </c>
    </row>
    <row r="727" spans="1:6" ht="17" x14ac:dyDescent="0.25">
      <c r="A727" s="6">
        <v>7388</v>
      </c>
      <c r="B727" t="s">
        <v>122</v>
      </c>
      <c r="C727">
        <v>213</v>
      </c>
      <c r="D727">
        <v>141</v>
      </c>
      <c r="E727">
        <v>3</v>
      </c>
      <c r="F727">
        <v>3</v>
      </c>
    </row>
    <row r="728" spans="1:6" ht="17" x14ac:dyDescent="0.25">
      <c r="A728" s="6">
        <v>7388</v>
      </c>
      <c r="B728" t="s">
        <v>102</v>
      </c>
      <c r="C728">
        <v>90</v>
      </c>
      <c r="D728">
        <v>70</v>
      </c>
      <c r="E728">
        <v>3</v>
      </c>
      <c r="F728">
        <v>3</v>
      </c>
    </row>
    <row r="729" spans="1:6" ht="17" x14ac:dyDescent="0.25">
      <c r="A729" s="6">
        <v>7388</v>
      </c>
      <c r="B729" t="s">
        <v>123</v>
      </c>
      <c r="C729">
        <v>88</v>
      </c>
      <c r="D729">
        <v>73</v>
      </c>
      <c r="E729">
        <v>3</v>
      </c>
      <c r="F729">
        <v>3</v>
      </c>
    </row>
    <row r="730" spans="1:6" ht="17" x14ac:dyDescent="0.25">
      <c r="A730" s="6">
        <v>7436</v>
      </c>
      <c r="B730" t="s">
        <v>100</v>
      </c>
      <c r="C730">
        <v>143</v>
      </c>
      <c r="D730">
        <v>109</v>
      </c>
      <c r="E730">
        <v>3</v>
      </c>
      <c r="F730">
        <v>3</v>
      </c>
    </row>
    <row r="731" spans="1:6" ht="17" x14ac:dyDescent="0.25">
      <c r="A731" s="6">
        <v>7436</v>
      </c>
      <c r="B731" t="s">
        <v>122</v>
      </c>
      <c r="C731">
        <v>203</v>
      </c>
      <c r="D731">
        <v>100</v>
      </c>
      <c r="E731">
        <v>3</v>
      </c>
      <c r="F731">
        <v>3</v>
      </c>
    </row>
    <row r="732" spans="1:6" ht="17" x14ac:dyDescent="0.25">
      <c r="A732" s="6">
        <v>7436</v>
      </c>
      <c r="B732" t="s">
        <v>102</v>
      </c>
      <c r="C732">
        <v>99</v>
      </c>
      <c r="D732">
        <v>56</v>
      </c>
      <c r="E732">
        <v>3</v>
      </c>
      <c r="F732">
        <v>3</v>
      </c>
    </row>
    <row r="733" spans="1:6" ht="17" x14ac:dyDescent="0.25">
      <c r="A733" s="6">
        <v>7436</v>
      </c>
      <c r="B733" t="s">
        <v>123</v>
      </c>
      <c r="C733">
        <v>122</v>
      </c>
      <c r="D733">
        <v>89</v>
      </c>
      <c r="E733">
        <v>3</v>
      </c>
      <c r="F733">
        <v>3</v>
      </c>
    </row>
    <row r="734" spans="1:6" ht="17" x14ac:dyDescent="0.25">
      <c r="A734" s="6">
        <v>7484</v>
      </c>
      <c r="B734" t="s">
        <v>100</v>
      </c>
      <c r="C734">
        <v>125</v>
      </c>
      <c r="D734">
        <v>63</v>
      </c>
      <c r="E734">
        <v>3</v>
      </c>
      <c r="F734">
        <v>3</v>
      </c>
    </row>
    <row r="735" spans="1:6" ht="17" x14ac:dyDescent="0.25">
      <c r="A735" s="6">
        <v>7484</v>
      </c>
      <c r="B735" t="s">
        <v>122</v>
      </c>
      <c r="C735">
        <v>161</v>
      </c>
      <c r="D735">
        <v>125</v>
      </c>
      <c r="E735">
        <v>3</v>
      </c>
      <c r="F735">
        <v>3</v>
      </c>
    </row>
    <row r="736" spans="1:6" ht="17" x14ac:dyDescent="0.25">
      <c r="A736" s="6">
        <v>7484</v>
      </c>
      <c r="B736" t="s">
        <v>102</v>
      </c>
      <c r="C736">
        <v>80</v>
      </c>
      <c r="D736">
        <v>40</v>
      </c>
      <c r="E736">
        <v>3</v>
      </c>
      <c r="F736">
        <v>3</v>
      </c>
    </row>
    <row r="737" spans="1:6" ht="17" x14ac:dyDescent="0.25">
      <c r="A737" s="6">
        <v>7484</v>
      </c>
      <c r="B737" t="s">
        <v>123</v>
      </c>
      <c r="C737">
        <v>111</v>
      </c>
      <c r="D737">
        <v>83</v>
      </c>
      <c r="E737">
        <v>3</v>
      </c>
      <c r="F737">
        <v>3</v>
      </c>
    </row>
    <row r="738" spans="1:6" ht="17" x14ac:dyDescent="0.25">
      <c r="A738" s="6">
        <v>7532</v>
      </c>
      <c r="B738" t="s">
        <v>100</v>
      </c>
      <c r="C738">
        <v>120</v>
      </c>
      <c r="D738">
        <v>98</v>
      </c>
      <c r="E738">
        <v>3</v>
      </c>
      <c r="F738">
        <v>3</v>
      </c>
    </row>
    <row r="739" spans="1:6" ht="17" x14ac:dyDescent="0.25">
      <c r="A739" s="6">
        <v>7532</v>
      </c>
      <c r="B739" t="s">
        <v>122</v>
      </c>
      <c r="C739">
        <v>202</v>
      </c>
      <c r="D739">
        <v>123</v>
      </c>
      <c r="E739">
        <v>3</v>
      </c>
      <c r="F739">
        <v>3</v>
      </c>
    </row>
    <row r="740" spans="1:6" ht="17" x14ac:dyDescent="0.25">
      <c r="A740" s="6">
        <v>7532</v>
      </c>
      <c r="B740" t="s">
        <v>102</v>
      </c>
      <c r="C740">
        <v>120</v>
      </c>
      <c r="D740">
        <v>77</v>
      </c>
      <c r="E740">
        <v>3</v>
      </c>
      <c r="F740">
        <v>3</v>
      </c>
    </row>
    <row r="741" spans="1:6" ht="17" x14ac:dyDescent="0.25">
      <c r="A741" s="6">
        <v>7532</v>
      </c>
      <c r="B741" t="s">
        <v>123</v>
      </c>
      <c r="C741">
        <v>109</v>
      </c>
      <c r="D741">
        <v>87</v>
      </c>
      <c r="E741">
        <v>3</v>
      </c>
      <c r="F741">
        <v>3</v>
      </c>
    </row>
    <row r="742" spans="1:6" ht="17" x14ac:dyDescent="0.25">
      <c r="A742" s="6">
        <v>7580</v>
      </c>
      <c r="B742" t="s">
        <v>100</v>
      </c>
      <c r="C742">
        <v>139</v>
      </c>
      <c r="D742">
        <v>104</v>
      </c>
      <c r="E742">
        <v>3</v>
      </c>
      <c r="F742">
        <v>3</v>
      </c>
    </row>
    <row r="743" spans="1:6" ht="17" x14ac:dyDescent="0.25">
      <c r="A743" s="6">
        <v>7580</v>
      </c>
      <c r="B743" t="s">
        <v>122</v>
      </c>
      <c r="C743">
        <v>169</v>
      </c>
      <c r="D743">
        <v>115</v>
      </c>
      <c r="E743">
        <v>3</v>
      </c>
      <c r="F743">
        <v>3</v>
      </c>
    </row>
    <row r="744" spans="1:6" ht="17" x14ac:dyDescent="0.25">
      <c r="A744" s="6">
        <v>7580</v>
      </c>
      <c r="B744" t="s">
        <v>102</v>
      </c>
      <c r="C744">
        <v>77</v>
      </c>
      <c r="D744">
        <v>70</v>
      </c>
      <c r="E744">
        <v>3</v>
      </c>
      <c r="F744">
        <v>3</v>
      </c>
    </row>
    <row r="745" spans="1:6" ht="17" x14ac:dyDescent="0.25">
      <c r="A745" s="6">
        <v>7580</v>
      </c>
      <c r="B745" t="s">
        <v>123</v>
      </c>
      <c r="C745">
        <v>91</v>
      </c>
      <c r="D745">
        <v>80</v>
      </c>
      <c r="E745">
        <v>3</v>
      </c>
      <c r="F745">
        <v>3</v>
      </c>
    </row>
    <row r="746" spans="1:6" ht="17" x14ac:dyDescent="0.25">
      <c r="A746" s="6">
        <v>7628</v>
      </c>
      <c r="B746" t="s">
        <v>100</v>
      </c>
      <c r="C746">
        <v>154</v>
      </c>
      <c r="D746">
        <v>130</v>
      </c>
      <c r="E746">
        <v>3</v>
      </c>
      <c r="F746">
        <v>3</v>
      </c>
    </row>
    <row r="747" spans="1:6" ht="17" x14ac:dyDescent="0.25">
      <c r="A747" s="6">
        <v>7628</v>
      </c>
      <c r="B747" t="s">
        <v>122</v>
      </c>
      <c r="C747">
        <v>214</v>
      </c>
      <c r="D747">
        <v>108</v>
      </c>
      <c r="E747">
        <v>3</v>
      </c>
      <c r="F747">
        <v>3</v>
      </c>
    </row>
    <row r="748" spans="1:6" ht="17" x14ac:dyDescent="0.25">
      <c r="A748" s="6">
        <v>7628</v>
      </c>
      <c r="B748" t="s">
        <v>102</v>
      </c>
      <c r="C748">
        <v>86</v>
      </c>
      <c r="D748">
        <v>60</v>
      </c>
      <c r="E748">
        <v>3</v>
      </c>
      <c r="F748">
        <v>3</v>
      </c>
    </row>
    <row r="749" spans="1:6" ht="17" x14ac:dyDescent="0.25">
      <c r="A749" s="6">
        <v>7628</v>
      </c>
      <c r="B749" t="s">
        <v>123</v>
      </c>
      <c r="C749">
        <v>86</v>
      </c>
      <c r="D749">
        <v>54</v>
      </c>
      <c r="E749">
        <v>3</v>
      </c>
      <c r="F749">
        <v>3</v>
      </c>
    </row>
    <row r="750" spans="1:6" ht="17" x14ac:dyDescent="0.25">
      <c r="A750" s="6">
        <v>7676</v>
      </c>
      <c r="B750" t="s">
        <v>100</v>
      </c>
      <c r="C750">
        <v>145</v>
      </c>
      <c r="D750">
        <v>81</v>
      </c>
      <c r="E750">
        <v>3</v>
      </c>
      <c r="F750">
        <v>3</v>
      </c>
    </row>
    <row r="751" spans="1:6" ht="17" x14ac:dyDescent="0.25">
      <c r="A751" s="6">
        <v>7676</v>
      </c>
      <c r="B751" t="s">
        <v>122</v>
      </c>
      <c r="C751">
        <v>156</v>
      </c>
      <c r="D751">
        <v>107</v>
      </c>
      <c r="E751">
        <v>3</v>
      </c>
      <c r="F751">
        <v>3</v>
      </c>
    </row>
    <row r="752" spans="1:6" ht="17" x14ac:dyDescent="0.25">
      <c r="A752" s="6">
        <v>7676</v>
      </c>
      <c r="B752" t="s">
        <v>102</v>
      </c>
      <c r="C752">
        <v>91</v>
      </c>
      <c r="D752">
        <v>41</v>
      </c>
      <c r="E752">
        <v>3</v>
      </c>
      <c r="F752">
        <v>3</v>
      </c>
    </row>
    <row r="753" spans="1:6" ht="17" x14ac:dyDescent="0.25">
      <c r="A753" s="6">
        <v>7676</v>
      </c>
      <c r="B753" t="s">
        <v>123</v>
      </c>
      <c r="C753">
        <v>121</v>
      </c>
      <c r="D753">
        <v>74</v>
      </c>
      <c r="E753">
        <v>3</v>
      </c>
      <c r="F753">
        <v>3</v>
      </c>
    </row>
    <row r="754" spans="1:6" ht="17" x14ac:dyDescent="0.25">
      <c r="A754" s="6">
        <v>7724</v>
      </c>
      <c r="B754" t="s">
        <v>100</v>
      </c>
      <c r="C754">
        <v>126</v>
      </c>
      <c r="D754">
        <v>103</v>
      </c>
      <c r="E754">
        <v>3</v>
      </c>
      <c r="F754">
        <v>3</v>
      </c>
    </row>
    <row r="755" spans="1:6" ht="17" x14ac:dyDescent="0.25">
      <c r="A755" s="6">
        <v>7724</v>
      </c>
      <c r="B755" t="s">
        <v>122</v>
      </c>
      <c r="C755">
        <v>169</v>
      </c>
      <c r="D755">
        <v>104</v>
      </c>
      <c r="E755">
        <v>3</v>
      </c>
      <c r="F755">
        <v>3</v>
      </c>
    </row>
    <row r="756" spans="1:6" ht="17" x14ac:dyDescent="0.25">
      <c r="A756" s="6">
        <v>7724</v>
      </c>
      <c r="B756" t="s">
        <v>102</v>
      </c>
      <c r="C756">
        <v>92</v>
      </c>
      <c r="D756">
        <v>70</v>
      </c>
      <c r="E756">
        <v>3</v>
      </c>
      <c r="F756">
        <v>3</v>
      </c>
    </row>
    <row r="757" spans="1:6" ht="17" x14ac:dyDescent="0.25">
      <c r="A757" s="6">
        <v>7724</v>
      </c>
      <c r="B757" t="s">
        <v>123</v>
      </c>
      <c r="C757">
        <v>105</v>
      </c>
      <c r="D757">
        <v>55</v>
      </c>
      <c r="E757">
        <v>3</v>
      </c>
      <c r="F757">
        <v>3</v>
      </c>
    </row>
    <row r="758" spans="1:6" ht="17" x14ac:dyDescent="0.25">
      <c r="A758" s="6">
        <v>7772</v>
      </c>
      <c r="B758" t="s">
        <v>100</v>
      </c>
      <c r="C758">
        <v>137</v>
      </c>
      <c r="D758">
        <v>103</v>
      </c>
      <c r="E758">
        <v>3</v>
      </c>
      <c r="F758">
        <v>3</v>
      </c>
    </row>
    <row r="759" spans="1:6" ht="17" x14ac:dyDescent="0.25">
      <c r="A759" s="6">
        <v>7772</v>
      </c>
      <c r="B759" t="s">
        <v>122</v>
      </c>
      <c r="C759">
        <v>203</v>
      </c>
      <c r="D759">
        <v>163</v>
      </c>
      <c r="E759">
        <v>3</v>
      </c>
      <c r="F759">
        <v>3</v>
      </c>
    </row>
    <row r="760" spans="1:6" ht="17" x14ac:dyDescent="0.25">
      <c r="A760" s="6">
        <v>7772</v>
      </c>
      <c r="B760" t="s">
        <v>102</v>
      </c>
      <c r="C760">
        <v>101</v>
      </c>
      <c r="D760">
        <v>69</v>
      </c>
      <c r="E760">
        <v>3</v>
      </c>
      <c r="F760">
        <v>3</v>
      </c>
    </row>
    <row r="761" spans="1:6" ht="17" x14ac:dyDescent="0.25">
      <c r="A761" s="6">
        <v>7772</v>
      </c>
      <c r="B761" t="s">
        <v>123</v>
      </c>
      <c r="C761">
        <v>111</v>
      </c>
      <c r="D761">
        <v>78</v>
      </c>
      <c r="E761">
        <v>3</v>
      </c>
      <c r="F761">
        <v>3</v>
      </c>
    </row>
    <row r="762" spans="1:6" ht="17" x14ac:dyDescent="0.25">
      <c r="A762" s="6">
        <v>7820</v>
      </c>
      <c r="B762" t="s">
        <v>100</v>
      </c>
      <c r="C762">
        <v>136</v>
      </c>
      <c r="D762">
        <v>120</v>
      </c>
      <c r="E762">
        <v>3</v>
      </c>
      <c r="F762">
        <v>3</v>
      </c>
    </row>
    <row r="763" spans="1:6" ht="17" x14ac:dyDescent="0.25">
      <c r="A763" s="6">
        <v>7820</v>
      </c>
      <c r="B763" t="s">
        <v>122</v>
      </c>
      <c r="C763">
        <v>214</v>
      </c>
      <c r="D763">
        <v>149</v>
      </c>
      <c r="E763">
        <v>3</v>
      </c>
      <c r="F763">
        <v>3</v>
      </c>
    </row>
    <row r="764" spans="1:6" ht="17" x14ac:dyDescent="0.25">
      <c r="A764" s="6">
        <v>7820</v>
      </c>
      <c r="B764" t="s">
        <v>102</v>
      </c>
      <c r="C764">
        <v>73</v>
      </c>
      <c r="D764">
        <v>56</v>
      </c>
      <c r="E764">
        <v>3</v>
      </c>
      <c r="F764">
        <v>3</v>
      </c>
    </row>
    <row r="765" spans="1:6" ht="17" x14ac:dyDescent="0.25">
      <c r="A765" s="6">
        <v>7820</v>
      </c>
      <c r="B765" t="s">
        <v>123</v>
      </c>
      <c r="C765">
        <v>106</v>
      </c>
      <c r="D765">
        <v>87</v>
      </c>
      <c r="E765">
        <v>3</v>
      </c>
      <c r="F765">
        <v>3</v>
      </c>
    </row>
    <row r="766" spans="1:6" ht="17" x14ac:dyDescent="0.25">
      <c r="A766" s="6">
        <v>7868</v>
      </c>
      <c r="B766" t="s">
        <v>100</v>
      </c>
      <c r="C766">
        <v>169</v>
      </c>
      <c r="D766">
        <v>108</v>
      </c>
      <c r="E766">
        <v>3</v>
      </c>
      <c r="F766">
        <v>3</v>
      </c>
    </row>
    <row r="767" spans="1:6" ht="17" x14ac:dyDescent="0.25">
      <c r="A767" s="6">
        <v>7868</v>
      </c>
      <c r="B767" t="s">
        <v>122</v>
      </c>
      <c r="C767">
        <v>195</v>
      </c>
      <c r="D767">
        <v>107</v>
      </c>
      <c r="E767">
        <v>3</v>
      </c>
      <c r="F767">
        <v>3</v>
      </c>
    </row>
    <row r="768" spans="1:6" ht="17" x14ac:dyDescent="0.25">
      <c r="A768" s="6">
        <v>7868</v>
      </c>
      <c r="B768" t="s">
        <v>102</v>
      </c>
      <c r="C768">
        <v>100</v>
      </c>
      <c r="D768">
        <v>71</v>
      </c>
      <c r="E768">
        <v>3</v>
      </c>
      <c r="F768">
        <v>3</v>
      </c>
    </row>
    <row r="769" spans="1:6" ht="17" x14ac:dyDescent="0.25">
      <c r="A769" s="6">
        <v>7868</v>
      </c>
      <c r="B769" t="s">
        <v>123</v>
      </c>
      <c r="C769">
        <v>101</v>
      </c>
      <c r="D769">
        <v>71</v>
      </c>
      <c r="E769">
        <v>3</v>
      </c>
      <c r="F769">
        <v>3</v>
      </c>
    </row>
    <row r="770" spans="1:6" ht="17" x14ac:dyDescent="0.25">
      <c r="A770" s="6">
        <v>7916</v>
      </c>
      <c r="B770" t="s">
        <v>100</v>
      </c>
      <c r="C770">
        <v>140</v>
      </c>
      <c r="D770">
        <v>103</v>
      </c>
      <c r="E770">
        <v>3</v>
      </c>
      <c r="F770">
        <v>3</v>
      </c>
    </row>
    <row r="771" spans="1:6" ht="17" x14ac:dyDescent="0.25">
      <c r="A771" s="6">
        <v>7916</v>
      </c>
      <c r="B771" t="s">
        <v>122</v>
      </c>
      <c r="C771">
        <v>207</v>
      </c>
      <c r="D771">
        <v>186</v>
      </c>
      <c r="E771">
        <v>3</v>
      </c>
      <c r="F771">
        <v>3</v>
      </c>
    </row>
    <row r="772" spans="1:6" ht="17" x14ac:dyDescent="0.25">
      <c r="A772" s="6">
        <v>7916</v>
      </c>
      <c r="B772" t="s">
        <v>102</v>
      </c>
      <c r="C772">
        <v>89</v>
      </c>
      <c r="D772">
        <v>83</v>
      </c>
      <c r="E772">
        <v>3</v>
      </c>
      <c r="F772">
        <v>3</v>
      </c>
    </row>
    <row r="773" spans="1:6" ht="17" x14ac:dyDescent="0.25">
      <c r="A773" s="6">
        <v>7916</v>
      </c>
      <c r="B773" t="s">
        <v>123</v>
      </c>
      <c r="C773">
        <v>107</v>
      </c>
      <c r="D773">
        <v>107</v>
      </c>
      <c r="E773">
        <v>3</v>
      </c>
      <c r="F773">
        <v>3</v>
      </c>
    </row>
    <row r="774" spans="1:6" ht="17" x14ac:dyDescent="0.25">
      <c r="A774" s="6">
        <v>7964</v>
      </c>
      <c r="B774" t="s">
        <v>100</v>
      </c>
      <c r="C774">
        <v>156</v>
      </c>
      <c r="D774">
        <v>102</v>
      </c>
      <c r="E774">
        <v>3</v>
      </c>
      <c r="F774">
        <v>3</v>
      </c>
    </row>
    <row r="775" spans="1:6" ht="17" x14ac:dyDescent="0.25">
      <c r="A775" s="6">
        <v>7964</v>
      </c>
      <c r="B775" t="s">
        <v>122</v>
      </c>
      <c r="C775">
        <v>204</v>
      </c>
      <c r="D775">
        <v>141</v>
      </c>
      <c r="E775">
        <v>3</v>
      </c>
      <c r="F775">
        <v>3</v>
      </c>
    </row>
    <row r="776" spans="1:6" ht="17" x14ac:dyDescent="0.25">
      <c r="A776" s="6">
        <v>7964</v>
      </c>
      <c r="B776" t="s">
        <v>102</v>
      </c>
      <c r="C776">
        <v>105</v>
      </c>
      <c r="D776">
        <v>87</v>
      </c>
      <c r="E776">
        <v>3</v>
      </c>
      <c r="F776">
        <v>3</v>
      </c>
    </row>
    <row r="777" spans="1:6" ht="17" x14ac:dyDescent="0.25">
      <c r="A777" s="6">
        <v>7964</v>
      </c>
      <c r="B777" t="s">
        <v>123</v>
      </c>
      <c r="C777">
        <v>102</v>
      </c>
      <c r="D777">
        <v>82</v>
      </c>
      <c r="E777">
        <v>3</v>
      </c>
      <c r="F777">
        <v>3</v>
      </c>
    </row>
    <row r="778" spans="1:6" ht="17" x14ac:dyDescent="0.25">
      <c r="A778" s="6">
        <v>8012</v>
      </c>
      <c r="B778" t="s">
        <v>100</v>
      </c>
      <c r="C778">
        <v>124</v>
      </c>
      <c r="D778">
        <v>130</v>
      </c>
      <c r="E778">
        <v>3</v>
      </c>
      <c r="F778">
        <v>3</v>
      </c>
    </row>
    <row r="779" spans="1:6" ht="17" x14ac:dyDescent="0.25">
      <c r="A779" s="6">
        <v>8012</v>
      </c>
      <c r="B779" t="s">
        <v>122</v>
      </c>
      <c r="C779">
        <v>162</v>
      </c>
      <c r="D779">
        <v>149</v>
      </c>
      <c r="E779">
        <v>3</v>
      </c>
      <c r="F779">
        <v>3</v>
      </c>
    </row>
    <row r="780" spans="1:6" ht="17" x14ac:dyDescent="0.25">
      <c r="A780" s="6">
        <v>8012</v>
      </c>
      <c r="B780" t="s">
        <v>102</v>
      </c>
      <c r="C780">
        <v>89</v>
      </c>
      <c r="D780">
        <v>89</v>
      </c>
      <c r="E780">
        <v>3</v>
      </c>
      <c r="F780">
        <v>3</v>
      </c>
    </row>
    <row r="781" spans="1:6" ht="17" x14ac:dyDescent="0.25">
      <c r="A781" s="6">
        <v>8012</v>
      </c>
      <c r="B781" t="s">
        <v>123</v>
      </c>
      <c r="C781">
        <v>102</v>
      </c>
      <c r="D781">
        <v>82</v>
      </c>
      <c r="E781">
        <v>3</v>
      </c>
      <c r="F781">
        <v>3</v>
      </c>
    </row>
    <row r="782" spans="1:6" ht="17" x14ac:dyDescent="0.25">
      <c r="A782" s="6">
        <v>8060</v>
      </c>
      <c r="B782" t="s">
        <v>100</v>
      </c>
      <c r="C782">
        <v>137</v>
      </c>
      <c r="D782">
        <v>134</v>
      </c>
      <c r="E782">
        <v>3</v>
      </c>
      <c r="F782">
        <v>3</v>
      </c>
    </row>
    <row r="783" spans="1:6" ht="17" x14ac:dyDescent="0.25">
      <c r="A783" s="6">
        <v>8060</v>
      </c>
      <c r="B783" t="s">
        <v>122</v>
      </c>
      <c r="C783">
        <v>224</v>
      </c>
      <c r="D783">
        <v>147</v>
      </c>
      <c r="E783">
        <v>3</v>
      </c>
      <c r="F783">
        <v>3</v>
      </c>
    </row>
    <row r="784" spans="1:6" ht="17" x14ac:dyDescent="0.25">
      <c r="A784" s="6">
        <v>8060</v>
      </c>
      <c r="B784" t="s">
        <v>102</v>
      </c>
      <c r="C784">
        <v>98</v>
      </c>
      <c r="D784">
        <v>96</v>
      </c>
      <c r="E784">
        <v>3</v>
      </c>
      <c r="F784">
        <v>3</v>
      </c>
    </row>
    <row r="785" spans="1:6" ht="17" x14ac:dyDescent="0.25">
      <c r="A785" s="6">
        <v>8060</v>
      </c>
      <c r="B785" t="s">
        <v>123</v>
      </c>
      <c r="C785">
        <v>113</v>
      </c>
      <c r="D785">
        <v>81</v>
      </c>
      <c r="E785">
        <v>3</v>
      </c>
      <c r="F785">
        <v>3</v>
      </c>
    </row>
    <row r="786" spans="1:6" ht="17" x14ac:dyDescent="0.25">
      <c r="A786" s="6">
        <v>8108</v>
      </c>
      <c r="B786" t="s">
        <v>100</v>
      </c>
      <c r="C786">
        <v>106</v>
      </c>
      <c r="D786">
        <v>91</v>
      </c>
      <c r="E786">
        <v>3</v>
      </c>
      <c r="F786">
        <v>3</v>
      </c>
    </row>
    <row r="787" spans="1:6" ht="17" x14ac:dyDescent="0.25">
      <c r="A787" s="6">
        <v>8108</v>
      </c>
      <c r="B787" t="s">
        <v>122</v>
      </c>
      <c r="C787">
        <v>171</v>
      </c>
      <c r="D787">
        <v>116</v>
      </c>
      <c r="E787">
        <v>3</v>
      </c>
      <c r="F787">
        <v>3</v>
      </c>
    </row>
    <row r="788" spans="1:6" ht="17" x14ac:dyDescent="0.25">
      <c r="A788" s="6">
        <v>8108</v>
      </c>
      <c r="B788" t="s">
        <v>102</v>
      </c>
      <c r="C788">
        <v>79</v>
      </c>
      <c r="D788">
        <v>66</v>
      </c>
      <c r="E788">
        <v>3</v>
      </c>
      <c r="F788">
        <v>3</v>
      </c>
    </row>
    <row r="789" spans="1:6" ht="17" x14ac:dyDescent="0.25">
      <c r="A789" s="6">
        <v>8108</v>
      </c>
      <c r="B789" t="s">
        <v>123</v>
      </c>
      <c r="C789">
        <v>108</v>
      </c>
      <c r="D789">
        <v>80</v>
      </c>
      <c r="E789">
        <v>3</v>
      </c>
      <c r="F789">
        <v>3</v>
      </c>
    </row>
    <row r="790" spans="1:6" ht="17" x14ac:dyDescent="0.25">
      <c r="A790" s="6">
        <v>8156</v>
      </c>
      <c r="B790" t="s">
        <v>100</v>
      </c>
      <c r="C790">
        <v>147</v>
      </c>
      <c r="D790">
        <v>125</v>
      </c>
      <c r="E790">
        <v>3</v>
      </c>
      <c r="F790">
        <v>3</v>
      </c>
    </row>
    <row r="791" spans="1:6" ht="17" x14ac:dyDescent="0.25">
      <c r="A791" s="6">
        <v>8156</v>
      </c>
      <c r="B791" t="s">
        <v>122</v>
      </c>
      <c r="C791">
        <v>159</v>
      </c>
      <c r="D791">
        <v>144</v>
      </c>
      <c r="E791">
        <v>3</v>
      </c>
      <c r="F791">
        <v>3</v>
      </c>
    </row>
    <row r="792" spans="1:6" ht="17" x14ac:dyDescent="0.25">
      <c r="A792" s="6">
        <v>8156</v>
      </c>
      <c r="B792" t="s">
        <v>102</v>
      </c>
      <c r="C792">
        <v>107</v>
      </c>
      <c r="D792">
        <v>65</v>
      </c>
      <c r="E792">
        <v>3</v>
      </c>
      <c r="F792">
        <v>3</v>
      </c>
    </row>
    <row r="793" spans="1:6" ht="17" x14ac:dyDescent="0.25">
      <c r="A793" s="6">
        <v>8156</v>
      </c>
      <c r="B793" t="s">
        <v>123</v>
      </c>
      <c r="C793">
        <v>107</v>
      </c>
      <c r="D793">
        <v>85</v>
      </c>
      <c r="E793">
        <v>3</v>
      </c>
      <c r="F793">
        <v>3</v>
      </c>
    </row>
    <row r="794" spans="1:6" ht="17" x14ac:dyDescent="0.25">
      <c r="A794" s="6">
        <v>8204</v>
      </c>
      <c r="B794" t="s">
        <v>100</v>
      </c>
      <c r="C794">
        <v>120</v>
      </c>
      <c r="D794">
        <v>106</v>
      </c>
      <c r="E794">
        <v>3</v>
      </c>
      <c r="F794">
        <v>3</v>
      </c>
    </row>
    <row r="795" spans="1:6" ht="17" x14ac:dyDescent="0.25">
      <c r="A795" s="6">
        <v>8204</v>
      </c>
      <c r="B795" t="s">
        <v>122</v>
      </c>
      <c r="C795">
        <v>160</v>
      </c>
      <c r="D795">
        <v>134</v>
      </c>
      <c r="E795">
        <v>3</v>
      </c>
      <c r="F795">
        <v>3</v>
      </c>
    </row>
    <row r="796" spans="1:6" ht="17" x14ac:dyDescent="0.25">
      <c r="A796" s="6">
        <v>8204</v>
      </c>
      <c r="B796" t="s">
        <v>102</v>
      </c>
      <c r="C796">
        <v>99</v>
      </c>
      <c r="D796">
        <v>76</v>
      </c>
      <c r="E796">
        <v>3</v>
      </c>
      <c r="F796">
        <v>3</v>
      </c>
    </row>
    <row r="797" spans="1:6" ht="17" x14ac:dyDescent="0.25">
      <c r="A797" s="6">
        <v>8204</v>
      </c>
      <c r="B797" t="s">
        <v>123</v>
      </c>
      <c r="C797">
        <v>87</v>
      </c>
      <c r="D797">
        <v>72</v>
      </c>
      <c r="E797">
        <v>3</v>
      </c>
      <c r="F797">
        <v>3</v>
      </c>
    </row>
    <row r="798" spans="1:6" ht="17" x14ac:dyDescent="0.25">
      <c r="A798" s="6">
        <v>8252</v>
      </c>
      <c r="B798" t="s">
        <v>100</v>
      </c>
      <c r="C798">
        <v>125</v>
      </c>
      <c r="D798">
        <v>109</v>
      </c>
      <c r="E798">
        <v>3</v>
      </c>
      <c r="F798">
        <v>3</v>
      </c>
    </row>
    <row r="799" spans="1:6" ht="17" x14ac:dyDescent="0.25">
      <c r="A799" s="6">
        <v>8252</v>
      </c>
      <c r="B799" t="s">
        <v>122</v>
      </c>
      <c r="C799">
        <v>184</v>
      </c>
      <c r="D799">
        <v>175</v>
      </c>
      <c r="E799">
        <v>3</v>
      </c>
      <c r="F799">
        <v>3</v>
      </c>
    </row>
    <row r="800" spans="1:6" ht="17" x14ac:dyDescent="0.25">
      <c r="A800" s="6">
        <v>8252</v>
      </c>
      <c r="B800" t="s">
        <v>102</v>
      </c>
      <c r="C800">
        <v>111</v>
      </c>
      <c r="D800">
        <v>72</v>
      </c>
      <c r="E800">
        <v>3</v>
      </c>
      <c r="F800">
        <v>3</v>
      </c>
    </row>
    <row r="801" spans="1:6" ht="17" x14ac:dyDescent="0.25">
      <c r="A801" s="6">
        <v>8252</v>
      </c>
      <c r="B801" t="s">
        <v>123</v>
      </c>
      <c r="C801">
        <v>104</v>
      </c>
      <c r="D801">
        <v>92</v>
      </c>
      <c r="E801">
        <v>3</v>
      </c>
      <c r="F801">
        <v>3</v>
      </c>
    </row>
    <row r="802" spans="1:6" ht="17" x14ac:dyDescent="0.25">
      <c r="A802" s="6">
        <v>8300</v>
      </c>
      <c r="B802" t="s">
        <v>100</v>
      </c>
      <c r="C802">
        <v>127</v>
      </c>
      <c r="D802">
        <v>120</v>
      </c>
      <c r="E802">
        <v>3</v>
      </c>
      <c r="F802">
        <v>3</v>
      </c>
    </row>
    <row r="803" spans="1:6" ht="17" x14ac:dyDescent="0.25">
      <c r="A803" s="6">
        <v>8300</v>
      </c>
      <c r="B803" t="s">
        <v>122</v>
      </c>
      <c r="C803">
        <v>156</v>
      </c>
      <c r="D803">
        <v>130</v>
      </c>
      <c r="E803">
        <v>3</v>
      </c>
      <c r="F803">
        <v>3</v>
      </c>
    </row>
    <row r="804" spans="1:6" ht="17" x14ac:dyDescent="0.25">
      <c r="A804" s="6">
        <v>8300</v>
      </c>
      <c r="B804" t="s">
        <v>102</v>
      </c>
      <c r="C804">
        <v>81</v>
      </c>
      <c r="D804">
        <v>71</v>
      </c>
      <c r="E804">
        <v>3</v>
      </c>
      <c r="F804">
        <v>3</v>
      </c>
    </row>
    <row r="805" spans="1:6" ht="17" x14ac:dyDescent="0.25">
      <c r="A805" s="6">
        <v>8300</v>
      </c>
      <c r="B805" t="s">
        <v>123</v>
      </c>
      <c r="C805">
        <v>101</v>
      </c>
      <c r="D805">
        <v>86</v>
      </c>
      <c r="E805">
        <v>3</v>
      </c>
      <c r="F805">
        <v>3</v>
      </c>
    </row>
    <row r="806" spans="1:6" ht="17" x14ac:dyDescent="0.25">
      <c r="A806" s="6">
        <v>8348</v>
      </c>
      <c r="B806" t="s">
        <v>100</v>
      </c>
      <c r="C806">
        <v>119</v>
      </c>
      <c r="D806">
        <v>108</v>
      </c>
      <c r="E806">
        <v>3</v>
      </c>
      <c r="F806">
        <v>3</v>
      </c>
    </row>
    <row r="807" spans="1:6" ht="17" x14ac:dyDescent="0.25">
      <c r="A807" s="6">
        <v>8348</v>
      </c>
      <c r="B807" t="s">
        <v>122</v>
      </c>
      <c r="C807">
        <v>167</v>
      </c>
      <c r="D807">
        <v>98</v>
      </c>
      <c r="E807">
        <v>3</v>
      </c>
      <c r="F807">
        <v>3</v>
      </c>
    </row>
    <row r="808" spans="1:6" ht="17" x14ac:dyDescent="0.25">
      <c r="A808" s="6">
        <v>8348</v>
      </c>
      <c r="B808" t="s">
        <v>102</v>
      </c>
      <c r="C808">
        <v>90</v>
      </c>
      <c r="D808">
        <v>64</v>
      </c>
      <c r="E808">
        <v>3</v>
      </c>
      <c r="F808">
        <v>3</v>
      </c>
    </row>
    <row r="809" spans="1:6" ht="17" x14ac:dyDescent="0.25">
      <c r="A809" s="6">
        <v>8348</v>
      </c>
      <c r="B809" t="s">
        <v>123</v>
      </c>
      <c r="C809">
        <v>128</v>
      </c>
      <c r="D809">
        <v>93</v>
      </c>
      <c r="E809">
        <v>3</v>
      </c>
      <c r="F809">
        <v>3</v>
      </c>
    </row>
    <row r="810" spans="1:6" ht="17" x14ac:dyDescent="0.25">
      <c r="A810" s="6">
        <v>8396</v>
      </c>
      <c r="B810" t="s">
        <v>100</v>
      </c>
      <c r="C810">
        <v>144</v>
      </c>
      <c r="D810">
        <v>112</v>
      </c>
      <c r="E810">
        <v>3</v>
      </c>
      <c r="F810">
        <v>3</v>
      </c>
    </row>
    <row r="811" spans="1:6" ht="17" x14ac:dyDescent="0.25">
      <c r="A811" s="6">
        <v>8396</v>
      </c>
      <c r="B811" t="s">
        <v>122</v>
      </c>
      <c r="C811">
        <v>163</v>
      </c>
      <c r="D811">
        <v>119</v>
      </c>
      <c r="E811">
        <v>3</v>
      </c>
      <c r="F811">
        <v>3</v>
      </c>
    </row>
    <row r="812" spans="1:6" ht="17" x14ac:dyDescent="0.25">
      <c r="A812" s="6">
        <v>8396</v>
      </c>
      <c r="B812" t="s">
        <v>102</v>
      </c>
      <c r="C812">
        <v>102</v>
      </c>
      <c r="D812">
        <v>59</v>
      </c>
      <c r="E812">
        <v>3</v>
      </c>
      <c r="F812">
        <v>3</v>
      </c>
    </row>
    <row r="813" spans="1:6" ht="17" x14ac:dyDescent="0.25">
      <c r="A813" s="6">
        <v>8396</v>
      </c>
      <c r="B813" t="s">
        <v>123</v>
      </c>
      <c r="C813">
        <v>80</v>
      </c>
      <c r="D813">
        <v>73</v>
      </c>
      <c r="E813">
        <v>3</v>
      </c>
      <c r="F813">
        <v>3</v>
      </c>
    </row>
    <row r="814" spans="1:6" ht="17" x14ac:dyDescent="0.25">
      <c r="A814" s="6">
        <v>8444</v>
      </c>
      <c r="B814" t="s">
        <v>100</v>
      </c>
      <c r="C814">
        <v>143</v>
      </c>
      <c r="D814">
        <v>140</v>
      </c>
      <c r="E814">
        <v>3</v>
      </c>
      <c r="F814">
        <v>3</v>
      </c>
    </row>
    <row r="815" spans="1:6" ht="17" x14ac:dyDescent="0.25">
      <c r="A815" s="6">
        <v>8444</v>
      </c>
      <c r="B815" t="s">
        <v>122</v>
      </c>
      <c r="C815">
        <v>173</v>
      </c>
      <c r="D815">
        <v>168</v>
      </c>
      <c r="E815">
        <v>3</v>
      </c>
      <c r="F815">
        <v>3</v>
      </c>
    </row>
    <row r="816" spans="1:6" ht="17" x14ac:dyDescent="0.25">
      <c r="A816" s="6">
        <v>8444</v>
      </c>
      <c r="B816" t="s">
        <v>102</v>
      </c>
      <c r="C816">
        <v>117</v>
      </c>
      <c r="D816">
        <v>114</v>
      </c>
      <c r="E816">
        <v>3</v>
      </c>
      <c r="F816">
        <v>3</v>
      </c>
    </row>
    <row r="817" spans="1:6" ht="17" x14ac:dyDescent="0.25">
      <c r="A817" s="6">
        <v>8444</v>
      </c>
      <c r="B817" t="s">
        <v>123</v>
      </c>
      <c r="C817">
        <v>121</v>
      </c>
      <c r="D817">
        <v>111</v>
      </c>
      <c r="E817">
        <v>3</v>
      </c>
      <c r="F817">
        <v>3</v>
      </c>
    </row>
    <row r="818" spans="1:6" ht="17" x14ac:dyDescent="0.25">
      <c r="A818" s="6">
        <v>8492</v>
      </c>
      <c r="B818" t="s">
        <v>100</v>
      </c>
      <c r="C818">
        <v>82</v>
      </c>
      <c r="D818">
        <v>63</v>
      </c>
      <c r="E818">
        <v>3</v>
      </c>
      <c r="F818">
        <v>3</v>
      </c>
    </row>
    <row r="819" spans="1:6" ht="17" x14ac:dyDescent="0.25">
      <c r="A819" s="6">
        <v>8492</v>
      </c>
      <c r="B819" t="s">
        <v>122</v>
      </c>
      <c r="C819">
        <v>158</v>
      </c>
      <c r="D819">
        <v>95</v>
      </c>
      <c r="E819">
        <v>3</v>
      </c>
      <c r="F819">
        <v>3</v>
      </c>
    </row>
    <row r="820" spans="1:6" ht="17" x14ac:dyDescent="0.25">
      <c r="A820" s="6">
        <v>8492</v>
      </c>
      <c r="B820" t="s">
        <v>102</v>
      </c>
      <c r="C820">
        <v>60</v>
      </c>
      <c r="D820">
        <v>24</v>
      </c>
      <c r="E820">
        <v>3</v>
      </c>
      <c r="F820">
        <v>3</v>
      </c>
    </row>
    <row r="821" spans="1:6" ht="17" x14ac:dyDescent="0.25">
      <c r="A821" s="6">
        <v>8492</v>
      </c>
      <c r="B821" t="s">
        <v>123</v>
      </c>
      <c r="C821">
        <v>79</v>
      </c>
      <c r="D821">
        <v>59</v>
      </c>
      <c r="E821">
        <v>3</v>
      </c>
      <c r="F821">
        <v>3</v>
      </c>
    </row>
    <row r="822" spans="1:6" ht="17" x14ac:dyDescent="0.25">
      <c r="A822" s="6">
        <v>8540</v>
      </c>
      <c r="B822" t="s">
        <v>100</v>
      </c>
      <c r="C822">
        <v>139</v>
      </c>
      <c r="D822">
        <v>131</v>
      </c>
      <c r="E822">
        <v>3</v>
      </c>
      <c r="F822">
        <v>3</v>
      </c>
    </row>
    <row r="823" spans="1:6" ht="17" x14ac:dyDescent="0.25">
      <c r="A823" s="6">
        <v>8540</v>
      </c>
      <c r="B823" t="s">
        <v>122</v>
      </c>
      <c r="C823">
        <v>219</v>
      </c>
      <c r="D823">
        <v>174</v>
      </c>
      <c r="E823">
        <v>3</v>
      </c>
      <c r="F823">
        <v>3</v>
      </c>
    </row>
    <row r="824" spans="1:6" ht="17" x14ac:dyDescent="0.25">
      <c r="A824" s="6">
        <v>8540</v>
      </c>
      <c r="B824" t="s">
        <v>102</v>
      </c>
      <c r="C824">
        <v>90</v>
      </c>
      <c r="D824">
        <v>56</v>
      </c>
      <c r="E824">
        <v>3</v>
      </c>
      <c r="F824">
        <v>3</v>
      </c>
    </row>
    <row r="825" spans="1:6" ht="17" x14ac:dyDescent="0.25">
      <c r="A825" s="6">
        <v>8540</v>
      </c>
      <c r="B825" t="s">
        <v>123</v>
      </c>
      <c r="C825">
        <v>114</v>
      </c>
      <c r="D825">
        <v>87</v>
      </c>
      <c r="E825">
        <v>3</v>
      </c>
      <c r="F825">
        <v>3</v>
      </c>
    </row>
    <row r="826" spans="1:6" ht="17" x14ac:dyDescent="0.25">
      <c r="A826" s="6">
        <v>8588</v>
      </c>
      <c r="B826" t="s">
        <v>100</v>
      </c>
      <c r="C826">
        <v>134</v>
      </c>
      <c r="D826">
        <v>117</v>
      </c>
      <c r="E826">
        <v>3</v>
      </c>
      <c r="F826">
        <v>3</v>
      </c>
    </row>
    <row r="827" spans="1:6" ht="17" x14ac:dyDescent="0.25">
      <c r="A827" s="6">
        <v>8588</v>
      </c>
      <c r="B827" t="s">
        <v>122</v>
      </c>
      <c r="C827">
        <v>175</v>
      </c>
      <c r="D827">
        <v>129</v>
      </c>
      <c r="E827">
        <v>3</v>
      </c>
      <c r="F827">
        <v>3</v>
      </c>
    </row>
    <row r="828" spans="1:6" ht="17" x14ac:dyDescent="0.25">
      <c r="A828" s="6">
        <v>8588</v>
      </c>
      <c r="B828" t="s">
        <v>102</v>
      </c>
      <c r="C828">
        <v>69</v>
      </c>
      <c r="D828">
        <v>59</v>
      </c>
      <c r="E828">
        <v>3</v>
      </c>
      <c r="F828">
        <v>3</v>
      </c>
    </row>
    <row r="829" spans="1:6" ht="17" x14ac:dyDescent="0.25">
      <c r="A829" s="6">
        <v>8588</v>
      </c>
      <c r="B829" t="s">
        <v>123</v>
      </c>
      <c r="C829">
        <v>100</v>
      </c>
      <c r="D829">
        <v>103</v>
      </c>
      <c r="E829">
        <v>3</v>
      </c>
      <c r="F829">
        <v>3</v>
      </c>
    </row>
    <row r="830" spans="1:6" ht="17" x14ac:dyDescent="0.25">
      <c r="A830" s="6">
        <v>8636</v>
      </c>
      <c r="B830" t="s">
        <v>100</v>
      </c>
      <c r="C830">
        <v>130</v>
      </c>
      <c r="D830">
        <v>95</v>
      </c>
      <c r="E830">
        <v>3</v>
      </c>
      <c r="F830">
        <v>3</v>
      </c>
    </row>
    <row r="831" spans="1:6" ht="17" x14ac:dyDescent="0.25">
      <c r="A831" s="6">
        <v>8636</v>
      </c>
      <c r="B831" t="s">
        <v>122</v>
      </c>
      <c r="C831">
        <v>170</v>
      </c>
      <c r="D831">
        <v>118</v>
      </c>
      <c r="E831">
        <v>3</v>
      </c>
      <c r="F831">
        <v>3</v>
      </c>
    </row>
    <row r="832" spans="1:6" ht="17" x14ac:dyDescent="0.25">
      <c r="A832" s="6">
        <v>8636</v>
      </c>
      <c r="B832" t="s">
        <v>102</v>
      </c>
      <c r="C832">
        <v>78</v>
      </c>
      <c r="D832">
        <v>58</v>
      </c>
      <c r="E832">
        <v>3</v>
      </c>
      <c r="F832">
        <v>3</v>
      </c>
    </row>
    <row r="833" spans="1:6" ht="17" x14ac:dyDescent="0.25">
      <c r="A833" s="6">
        <v>8636</v>
      </c>
      <c r="B833" t="s">
        <v>123</v>
      </c>
      <c r="C833">
        <v>103</v>
      </c>
      <c r="D833">
        <v>68</v>
      </c>
      <c r="E833">
        <v>3</v>
      </c>
      <c r="F833">
        <v>3</v>
      </c>
    </row>
    <row r="834" spans="1:6" ht="17" x14ac:dyDescent="0.25">
      <c r="A834" s="6">
        <v>8684</v>
      </c>
      <c r="B834" t="s">
        <v>100</v>
      </c>
      <c r="C834">
        <v>146</v>
      </c>
      <c r="D834">
        <v>84</v>
      </c>
      <c r="E834">
        <v>3</v>
      </c>
      <c r="F834">
        <v>3</v>
      </c>
    </row>
    <row r="835" spans="1:6" ht="17" x14ac:dyDescent="0.25">
      <c r="A835" s="6">
        <v>8684</v>
      </c>
      <c r="B835" t="s">
        <v>122</v>
      </c>
      <c r="C835">
        <v>171</v>
      </c>
      <c r="D835">
        <v>124</v>
      </c>
      <c r="E835">
        <v>3</v>
      </c>
      <c r="F835">
        <v>3</v>
      </c>
    </row>
    <row r="836" spans="1:6" ht="17" x14ac:dyDescent="0.25">
      <c r="A836" s="6">
        <v>8684</v>
      </c>
      <c r="B836" t="s">
        <v>102</v>
      </c>
      <c r="C836">
        <v>71</v>
      </c>
      <c r="D836">
        <v>81</v>
      </c>
      <c r="E836">
        <v>3</v>
      </c>
      <c r="F836">
        <v>3</v>
      </c>
    </row>
    <row r="837" spans="1:6" ht="17" x14ac:dyDescent="0.25">
      <c r="A837" s="6">
        <v>8684</v>
      </c>
      <c r="B837" t="s">
        <v>123</v>
      </c>
      <c r="C837">
        <v>126</v>
      </c>
      <c r="D837">
        <v>74</v>
      </c>
      <c r="E837">
        <v>3</v>
      </c>
      <c r="F837">
        <v>3</v>
      </c>
    </row>
    <row r="838" spans="1:6" ht="17" x14ac:dyDescent="0.25">
      <c r="A838" s="6">
        <v>8732</v>
      </c>
      <c r="B838" t="s">
        <v>100</v>
      </c>
      <c r="C838">
        <v>130</v>
      </c>
      <c r="D838">
        <v>105</v>
      </c>
      <c r="E838">
        <v>3</v>
      </c>
      <c r="F838">
        <v>3</v>
      </c>
    </row>
    <row r="839" spans="1:6" ht="17" x14ac:dyDescent="0.25">
      <c r="A839" s="6">
        <v>8732</v>
      </c>
      <c r="B839" t="s">
        <v>122</v>
      </c>
      <c r="C839">
        <v>146</v>
      </c>
      <c r="D839">
        <v>147</v>
      </c>
      <c r="E839">
        <v>3</v>
      </c>
      <c r="F839">
        <v>3</v>
      </c>
    </row>
    <row r="840" spans="1:6" ht="17" x14ac:dyDescent="0.25">
      <c r="A840" s="6">
        <v>8732</v>
      </c>
      <c r="B840" t="s">
        <v>102</v>
      </c>
      <c r="C840">
        <v>107</v>
      </c>
      <c r="D840">
        <v>75</v>
      </c>
      <c r="E840">
        <v>3</v>
      </c>
      <c r="F840">
        <v>3</v>
      </c>
    </row>
    <row r="841" spans="1:6" ht="17" x14ac:dyDescent="0.25">
      <c r="A841" s="6">
        <v>8732</v>
      </c>
      <c r="B841" t="s">
        <v>123</v>
      </c>
      <c r="C841">
        <v>115</v>
      </c>
      <c r="D841">
        <v>108</v>
      </c>
      <c r="E841">
        <v>3</v>
      </c>
      <c r="F841">
        <v>3</v>
      </c>
    </row>
    <row r="842" spans="1:6" ht="17" x14ac:dyDescent="0.25">
      <c r="A842" s="6">
        <v>8780</v>
      </c>
      <c r="B842" t="s">
        <v>100</v>
      </c>
      <c r="C842">
        <v>135</v>
      </c>
      <c r="D842">
        <v>115</v>
      </c>
      <c r="E842">
        <v>3</v>
      </c>
      <c r="F842">
        <v>3</v>
      </c>
    </row>
    <row r="843" spans="1:6" ht="17" x14ac:dyDescent="0.25">
      <c r="A843" s="6">
        <v>8780</v>
      </c>
      <c r="B843" t="s">
        <v>122</v>
      </c>
      <c r="C843">
        <v>184</v>
      </c>
      <c r="D843">
        <v>161</v>
      </c>
      <c r="E843">
        <v>3</v>
      </c>
      <c r="F843">
        <v>3</v>
      </c>
    </row>
    <row r="844" spans="1:6" ht="17" x14ac:dyDescent="0.25">
      <c r="A844" s="6">
        <v>8780</v>
      </c>
      <c r="B844" t="s">
        <v>102</v>
      </c>
      <c r="C844">
        <v>111</v>
      </c>
      <c r="D844">
        <v>61</v>
      </c>
      <c r="E844">
        <v>3</v>
      </c>
      <c r="F844">
        <v>3</v>
      </c>
    </row>
    <row r="845" spans="1:6" ht="17" x14ac:dyDescent="0.25">
      <c r="A845" s="6">
        <v>8780</v>
      </c>
      <c r="B845" t="s">
        <v>123</v>
      </c>
      <c r="C845">
        <v>83</v>
      </c>
      <c r="D845">
        <v>100</v>
      </c>
      <c r="E845">
        <v>3</v>
      </c>
      <c r="F845">
        <v>3</v>
      </c>
    </row>
    <row r="846" spans="1:6" ht="17" x14ac:dyDescent="0.25">
      <c r="A846" s="6">
        <v>8828</v>
      </c>
      <c r="B846" t="s">
        <v>100</v>
      </c>
      <c r="C846">
        <v>122</v>
      </c>
      <c r="D846">
        <v>137</v>
      </c>
      <c r="E846">
        <v>3</v>
      </c>
      <c r="F846">
        <v>3</v>
      </c>
    </row>
    <row r="847" spans="1:6" ht="17" x14ac:dyDescent="0.25">
      <c r="A847" s="6">
        <v>8828</v>
      </c>
      <c r="B847" t="s">
        <v>122</v>
      </c>
      <c r="C847">
        <v>186</v>
      </c>
      <c r="D847">
        <v>110</v>
      </c>
      <c r="E847">
        <v>3</v>
      </c>
      <c r="F847">
        <v>3</v>
      </c>
    </row>
    <row r="848" spans="1:6" ht="17" x14ac:dyDescent="0.25">
      <c r="A848" s="6">
        <v>8828</v>
      </c>
      <c r="B848" t="s">
        <v>102</v>
      </c>
      <c r="C848">
        <v>100</v>
      </c>
      <c r="D848">
        <v>66</v>
      </c>
      <c r="E848">
        <v>3</v>
      </c>
      <c r="F848">
        <v>3</v>
      </c>
    </row>
    <row r="849" spans="1:6" ht="17" x14ac:dyDescent="0.25">
      <c r="A849" s="6">
        <v>8828</v>
      </c>
      <c r="B849" t="s">
        <v>123</v>
      </c>
      <c r="C849">
        <v>119</v>
      </c>
      <c r="D849">
        <v>73</v>
      </c>
      <c r="E849">
        <v>3</v>
      </c>
      <c r="F849">
        <v>3</v>
      </c>
    </row>
    <row r="850" spans="1:6" ht="17" x14ac:dyDescent="0.25">
      <c r="A850" s="6">
        <v>8876</v>
      </c>
      <c r="B850" t="s">
        <v>100</v>
      </c>
      <c r="C850">
        <v>117</v>
      </c>
      <c r="D850">
        <v>81</v>
      </c>
      <c r="E850">
        <v>3</v>
      </c>
      <c r="F850">
        <v>3</v>
      </c>
    </row>
    <row r="851" spans="1:6" ht="17" x14ac:dyDescent="0.25">
      <c r="A851" s="6">
        <v>8876</v>
      </c>
      <c r="B851" t="s">
        <v>122</v>
      </c>
      <c r="C851">
        <v>143</v>
      </c>
      <c r="D851">
        <v>171</v>
      </c>
      <c r="E851">
        <v>3</v>
      </c>
      <c r="F851">
        <v>3</v>
      </c>
    </row>
    <row r="852" spans="1:6" ht="17" x14ac:dyDescent="0.25">
      <c r="A852" s="6">
        <v>8876</v>
      </c>
      <c r="B852" t="s">
        <v>102</v>
      </c>
      <c r="C852">
        <v>59</v>
      </c>
      <c r="D852">
        <v>77</v>
      </c>
      <c r="E852">
        <v>3</v>
      </c>
      <c r="F852">
        <v>3</v>
      </c>
    </row>
    <row r="853" spans="1:6" ht="17" x14ac:dyDescent="0.25">
      <c r="A853" s="6">
        <v>8876</v>
      </c>
      <c r="B853" t="s">
        <v>123</v>
      </c>
      <c r="C853">
        <v>80</v>
      </c>
      <c r="D853">
        <v>82</v>
      </c>
      <c r="E853">
        <v>3</v>
      </c>
      <c r="F853">
        <v>3</v>
      </c>
    </row>
    <row r="854" spans="1:6" ht="17" x14ac:dyDescent="0.25">
      <c r="A854" s="6">
        <v>8924</v>
      </c>
      <c r="B854" t="s">
        <v>100</v>
      </c>
      <c r="C854">
        <v>154</v>
      </c>
      <c r="D854">
        <v>106</v>
      </c>
      <c r="E854">
        <v>3</v>
      </c>
      <c r="F854">
        <v>3</v>
      </c>
    </row>
    <row r="855" spans="1:6" ht="17" x14ac:dyDescent="0.25">
      <c r="A855" s="6">
        <v>8924</v>
      </c>
      <c r="B855" t="s">
        <v>122</v>
      </c>
      <c r="C855">
        <v>160</v>
      </c>
      <c r="D855">
        <v>184</v>
      </c>
      <c r="E855">
        <v>3</v>
      </c>
      <c r="F855">
        <v>3</v>
      </c>
    </row>
    <row r="856" spans="1:6" ht="17" x14ac:dyDescent="0.25">
      <c r="A856" s="6">
        <v>8924</v>
      </c>
      <c r="B856" t="s">
        <v>102</v>
      </c>
      <c r="C856">
        <v>117</v>
      </c>
      <c r="D856">
        <v>65</v>
      </c>
      <c r="E856">
        <v>3</v>
      </c>
      <c r="F856">
        <v>3</v>
      </c>
    </row>
    <row r="857" spans="1:6" ht="17" x14ac:dyDescent="0.25">
      <c r="A857" s="6">
        <v>8924</v>
      </c>
      <c r="B857" t="s">
        <v>123</v>
      </c>
      <c r="C857">
        <v>110</v>
      </c>
      <c r="D857">
        <v>92</v>
      </c>
      <c r="E857">
        <v>3</v>
      </c>
      <c r="F857">
        <v>3</v>
      </c>
    </row>
    <row r="858" spans="1:6" ht="17" x14ac:dyDescent="0.25">
      <c r="A858" s="6">
        <v>8972</v>
      </c>
      <c r="B858" t="s">
        <v>100</v>
      </c>
      <c r="C858">
        <v>138</v>
      </c>
      <c r="D858">
        <v>128</v>
      </c>
      <c r="E858">
        <v>3</v>
      </c>
      <c r="F858">
        <v>3</v>
      </c>
    </row>
    <row r="859" spans="1:6" ht="17" x14ac:dyDescent="0.25">
      <c r="A859" s="6">
        <v>8972</v>
      </c>
      <c r="B859" t="s">
        <v>122</v>
      </c>
      <c r="C859">
        <v>185</v>
      </c>
      <c r="D859">
        <v>157</v>
      </c>
      <c r="E859">
        <v>3</v>
      </c>
      <c r="F859">
        <v>3</v>
      </c>
    </row>
    <row r="860" spans="1:6" ht="17" x14ac:dyDescent="0.25">
      <c r="A860" s="6">
        <v>8972</v>
      </c>
      <c r="B860" t="s">
        <v>102</v>
      </c>
      <c r="C860">
        <v>100</v>
      </c>
      <c r="D860">
        <v>65</v>
      </c>
      <c r="E860">
        <v>3</v>
      </c>
      <c r="F860">
        <v>3</v>
      </c>
    </row>
    <row r="861" spans="1:6" ht="17" x14ac:dyDescent="0.25">
      <c r="A861" s="6">
        <v>8972</v>
      </c>
      <c r="B861" t="s">
        <v>123</v>
      </c>
      <c r="C861">
        <v>125</v>
      </c>
      <c r="D861">
        <v>77</v>
      </c>
      <c r="E861">
        <v>3</v>
      </c>
      <c r="F861">
        <v>3</v>
      </c>
    </row>
    <row r="862" spans="1:6" ht="17" x14ac:dyDescent="0.25">
      <c r="A862" s="6">
        <v>9020</v>
      </c>
      <c r="B862" t="s">
        <v>100</v>
      </c>
      <c r="C862">
        <v>157</v>
      </c>
      <c r="D862">
        <v>128</v>
      </c>
      <c r="E862">
        <v>3</v>
      </c>
      <c r="F862">
        <v>3</v>
      </c>
    </row>
    <row r="863" spans="1:6" ht="17" x14ac:dyDescent="0.25">
      <c r="A863" s="6">
        <v>9020</v>
      </c>
      <c r="B863" t="s">
        <v>122</v>
      </c>
      <c r="C863">
        <v>198</v>
      </c>
      <c r="D863">
        <v>133</v>
      </c>
      <c r="E863">
        <v>3</v>
      </c>
      <c r="F863">
        <v>3</v>
      </c>
    </row>
    <row r="864" spans="1:6" ht="17" x14ac:dyDescent="0.25">
      <c r="A864" s="6">
        <v>9020</v>
      </c>
      <c r="B864" t="s">
        <v>102</v>
      </c>
      <c r="C864">
        <v>86</v>
      </c>
      <c r="D864">
        <v>75</v>
      </c>
      <c r="E864">
        <v>3</v>
      </c>
      <c r="F864">
        <v>3</v>
      </c>
    </row>
    <row r="865" spans="1:6" ht="17" x14ac:dyDescent="0.25">
      <c r="A865" s="6">
        <v>9020</v>
      </c>
      <c r="B865" t="s">
        <v>123</v>
      </c>
      <c r="C865">
        <v>108</v>
      </c>
      <c r="D865">
        <v>107</v>
      </c>
      <c r="E865">
        <v>3</v>
      </c>
      <c r="F865">
        <v>3</v>
      </c>
    </row>
    <row r="866" spans="1:6" ht="17" x14ac:dyDescent="0.25">
      <c r="A866" s="6">
        <v>9068</v>
      </c>
      <c r="B866" t="s">
        <v>100</v>
      </c>
      <c r="C866">
        <v>148</v>
      </c>
      <c r="D866">
        <v>97</v>
      </c>
      <c r="E866">
        <v>3</v>
      </c>
      <c r="F866">
        <v>3</v>
      </c>
    </row>
    <row r="867" spans="1:6" ht="17" x14ac:dyDescent="0.25">
      <c r="A867" s="6">
        <v>9068</v>
      </c>
      <c r="B867" t="s">
        <v>122</v>
      </c>
      <c r="C867">
        <v>182</v>
      </c>
      <c r="D867">
        <v>138</v>
      </c>
      <c r="E867">
        <v>3</v>
      </c>
      <c r="F867">
        <v>3</v>
      </c>
    </row>
    <row r="868" spans="1:6" ht="17" x14ac:dyDescent="0.25">
      <c r="A868" s="6">
        <v>9068</v>
      </c>
      <c r="B868" t="s">
        <v>102</v>
      </c>
      <c r="C868">
        <v>97</v>
      </c>
      <c r="D868">
        <v>71</v>
      </c>
      <c r="E868">
        <v>3</v>
      </c>
      <c r="F868">
        <v>3</v>
      </c>
    </row>
    <row r="869" spans="1:6" ht="17" x14ac:dyDescent="0.25">
      <c r="A869" s="6">
        <v>9068</v>
      </c>
      <c r="B869" t="s">
        <v>123</v>
      </c>
      <c r="C869">
        <v>107</v>
      </c>
      <c r="D869">
        <v>70</v>
      </c>
      <c r="E869">
        <v>3</v>
      </c>
      <c r="F869">
        <v>3</v>
      </c>
    </row>
    <row r="870" spans="1:6" ht="17" x14ac:dyDescent="0.25">
      <c r="A870" s="6">
        <v>9116</v>
      </c>
      <c r="B870" t="s">
        <v>100</v>
      </c>
      <c r="C870">
        <v>133</v>
      </c>
      <c r="D870">
        <v>108</v>
      </c>
      <c r="E870">
        <v>3</v>
      </c>
      <c r="F870">
        <v>3</v>
      </c>
    </row>
    <row r="871" spans="1:6" ht="17" x14ac:dyDescent="0.25">
      <c r="A871" s="6">
        <v>9116</v>
      </c>
      <c r="B871" t="s">
        <v>122</v>
      </c>
      <c r="C871">
        <v>174</v>
      </c>
      <c r="D871">
        <v>134</v>
      </c>
      <c r="E871">
        <v>3</v>
      </c>
      <c r="F871">
        <v>3</v>
      </c>
    </row>
    <row r="872" spans="1:6" ht="17" x14ac:dyDescent="0.25">
      <c r="A872" s="6">
        <v>9116</v>
      </c>
      <c r="B872" t="s">
        <v>102</v>
      </c>
      <c r="C872">
        <v>106</v>
      </c>
      <c r="D872">
        <v>81</v>
      </c>
      <c r="E872">
        <v>3</v>
      </c>
      <c r="F872">
        <v>3</v>
      </c>
    </row>
    <row r="873" spans="1:6" ht="17" x14ac:dyDescent="0.25">
      <c r="A873" s="6">
        <v>9116</v>
      </c>
      <c r="B873" t="s">
        <v>123</v>
      </c>
      <c r="C873">
        <v>126</v>
      </c>
      <c r="D873">
        <v>92</v>
      </c>
      <c r="E873">
        <v>3</v>
      </c>
      <c r="F873">
        <v>3</v>
      </c>
    </row>
    <row r="874" spans="1:6" ht="17" x14ac:dyDescent="0.25">
      <c r="A874" s="6">
        <v>9164</v>
      </c>
      <c r="B874" t="s">
        <v>100</v>
      </c>
      <c r="C874">
        <v>142</v>
      </c>
      <c r="D874">
        <v>98</v>
      </c>
      <c r="E874">
        <v>3</v>
      </c>
      <c r="F874">
        <v>3</v>
      </c>
    </row>
    <row r="875" spans="1:6" ht="17" x14ac:dyDescent="0.25">
      <c r="A875" s="6">
        <v>9164</v>
      </c>
      <c r="B875" t="s">
        <v>122</v>
      </c>
      <c r="C875">
        <v>161</v>
      </c>
      <c r="D875">
        <v>152</v>
      </c>
      <c r="E875">
        <v>3</v>
      </c>
      <c r="F875">
        <v>3</v>
      </c>
    </row>
    <row r="876" spans="1:6" ht="17" x14ac:dyDescent="0.25">
      <c r="A876" s="6">
        <v>9164</v>
      </c>
      <c r="B876" t="s">
        <v>102</v>
      </c>
      <c r="C876">
        <v>100</v>
      </c>
      <c r="D876">
        <v>73</v>
      </c>
      <c r="E876">
        <v>3</v>
      </c>
      <c r="F876">
        <v>3</v>
      </c>
    </row>
    <row r="877" spans="1:6" ht="17" x14ac:dyDescent="0.25">
      <c r="A877" s="6">
        <v>9164</v>
      </c>
      <c r="B877" t="s">
        <v>123</v>
      </c>
      <c r="C877">
        <v>95</v>
      </c>
      <c r="D877">
        <v>81</v>
      </c>
      <c r="E877">
        <v>3</v>
      </c>
      <c r="F877">
        <v>3</v>
      </c>
    </row>
    <row r="878" spans="1:6" ht="17" x14ac:dyDescent="0.25">
      <c r="A878" s="6">
        <v>9212</v>
      </c>
      <c r="B878" t="s">
        <v>100</v>
      </c>
      <c r="C878">
        <v>161</v>
      </c>
      <c r="D878">
        <v>128</v>
      </c>
      <c r="E878">
        <v>3</v>
      </c>
      <c r="F878">
        <v>3</v>
      </c>
    </row>
    <row r="879" spans="1:6" ht="17" x14ac:dyDescent="0.25">
      <c r="A879" s="6">
        <v>9212</v>
      </c>
      <c r="B879" t="s">
        <v>122</v>
      </c>
      <c r="C879">
        <v>189</v>
      </c>
      <c r="D879">
        <v>124</v>
      </c>
      <c r="E879">
        <v>3</v>
      </c>
      <c r="F879">
        <v>3</v>
      </c>
    </row>
    <row r="880" spans="1:6" ht="17" x14ac:dyDescent="0.25">
      <c r="A880" s="6">
        <v>9212</v>
      </c>
      <c r="B880" t="s">
        <v>102</v>
      </c>
      <c r="C880">
        <v>103</v>
      </c>
      <c r="D880">
        <v>83</v>
      </c>
      <c r="E880">
        <v>3</v>
      </c>
      <c r="F880">
        <v>3</v>
      </c>
    </row>
    <row r="881" spans="1:6" ht="17" x14ac:dyDescent="0.25">
      <c r="A881" s="6">
        <v>9212</v>
      </c>
      <c r="B881" t="s">
        <v>123</v>
      </c>
      <c r="C881">
        <v>85</v>
      </c>
      <c r="D881">
        <v>90</v>
      </c>
      <c r="E881">
        <v>3</v>
      </c>
      <c r="F881">
        <v>3</v>
      </c>
    </row>
    <row r="882" spans="1:6" ht="17" x14ac:dyDescent="0.25">
      <c r="A882" s="6">
        <v>9260</v>
      </c>
      <c r="B882" t="s">
        <v>100</v>
      </c>
      <c r="C882">
        <v>147</v>
      </c>
      <c r="D882">
        <v>135</v>
      </c>
      <c r="E882">
        <v>3</v>
      </c>
      <c r="F882">
        <v>3</v>
      </c>
    </row>
    <row r="883" spans="1:6" ht="17" x14ac:dyDescent="0.25">
      <c r="A883" s="6">
        <v>9260</v>
      </c>
      <c r="B883" t="s">
        <v>122</v>
      </c>
      <c r="C883">
        <v>188</v>
      </c>
      <c r="D883">
        <v>132</v>
      </c>
      <c r="E883">
        <v>3</v>
      </c>
      <c r="F883">
        <v>3</v>
      </c>
    </row>
    <row r="884" spans="1:6" ht="17" x14ac:dyDescent="0.25">
      <c r="A884" s="6">
        <v>9260</v>
      </c>
      <c r="B884" t="s">
        <v>102</v>
      </c>
      <c r="C884">
        <v>85</v>
      </c>
      <c r="D884">
        <v>88</v>
      </c>
      <c r="E884">
        <v>3</v>
      </c>
      <c r="F884">
        <v>3</v>
      </c>
    </row>
    <row r="885" spans="1:6" ht="17" x14ac:dyDescent="0.25">
      <c r="A885" s="6">
        <v>9260</v>
      </c>
      <c r="B885" t="s">
        <v>123</v>
      </c>
      <c r="C885">
        <v>118</v>
      </c>
      <c r="D885">
        <v>83</v>
      </c>
      <c r="E885">
        <v>3</v>
      </c>
      <c r="F885">
        <v>3</v>
      </c>
    </row>
    <row r="886" spans="1:6" ht="17" x14ac:dyDescent="0.25">
      <c r="A886" s="6">
        <v>9308</v>
      </c>
      <c r="B886" t="s">
        <v>100</v>
      </c>
      <c r="C886">
        <v>145</v>
      </c>
      <c r="D886">
        <v>121</v>
      </c>
      <c r="E886">
        <v>3</v>
      </c>
      <c r="F886">
        <v>3</v>
      </c>
    </row>
    <row r="887" spans="1:6" ht="17" x14ac:dyDescent="0.25">
      <c r="A887" s="6">
        <v>9308</v>
      </c>
      <c r="B887" t="s">
        <v>122</v>
      </c>
      <c r="C887">
        <v>177</v>
      </c>
      <c r="D887">
        <v>144</v>
      </c>
      <c r="E887">
        <v>3</v>
      </c>
      <c r="F887">
        <v>3</v>
      </c>
    </row>
    <row r="888" spans="1:6" ht="17" x14ac:dyDescent="0.25">
      <c r="A888" s="6">
        <v>9308</v>
      </c>
      <c r="B888" t="s">
        <v>102</v>
      </c>
      <c r="C888">
        <v>98</v>
      </c>
      <c r="D888">
        <v>69</v>
      </c>
      <c r="E888">
        <v>3</v>
      </c>
      <c r="F888">
        <v>3</v>
      </c>
    </row>
    <row r="889" spans="1:6" ht="17" x14ac:dyDescent="0.25">
      <c r="A889" s="6">
        <v>9308</v>
      </c>
      <c r="B889" t="s">
        <v>123</v>
      </c>
      <c r="C889">
        <v>84</v>
      </c>
      <c r="D889">
        <v>79</v>
      </c>
      <c r="E889">
        <v>3</v>
      </c>
      <c r="F889">
        <v>3</v>
      </c>
    </row>
    <row r="890" spans="1:6" ht="17" x14ac:dyDescent="0.25">
      <c r="A890" s="6">
        <v>9356</v>
      </c>
      <c r="B890" t="s">
        <v>100</v>
      </c>
      <c r="C890">
        <v>136</v>
      </c>
      <c r="D890">
        <v>124</v>
      </c>
      <c r="E890">
        <v>3</v>
      </c>
      <c r="F890">
        <v>3</v>
      </c>
    </row>
    <row r="891" spans="1:6" ht="17" x14ac:dyDescent="0.25">
      <c r="A891" s="6">
        <v>9356</v>
      </c>
      <c r="B891" t="s">
        <v>122</v>
      </c>
      <c r="C891">
        <v>178</v>
      </c>
      <c r="D891">
        <v>135</v>
      </c>
      <c r="E891">
        <v>3</v>
      </c>
      <c r="F891">
        <v>3</v>
      </c>
    </row>
    <row r="892" spans="1:6" ht="17" x14ac:dyDescent="0.25">
      <c r="A892" s="6">
        <v>9356</v>
      </c>
      <c r="B892" t="s">
        <v>102</v>
      </c>
      <c r="C892">
        <v>90</v>
      </c>
      <c r="D892">
        <v>67</v>
      </c>
      <c r="E892">
        <v>3</v>
      </c>
      <c r="F892">
        <v>3</v>
      </c>
    </row>
    <row r="893" spans="1:6" ht="17" x14ac:dyDescent="0.25">
      <c r="A893" s="6">
        <v>9356</v>
      </c>
      <c r="B893" t="s">
        <v>123</v>
      </c>
      <c r="C893">
        <v>104</v>
      </c>
      <c r="D893">
        <v>73</v>
      </c>
      <c r="E893">
        <v>3</v>
      </c>
      <c r="F893">
        <v>3</v>
      </c>
    </row>
    <row r="894" spans="1:6" ht="17" x14ac:dyDescent="0.25">
      <c r="A894" s="6">
        <v>9404</v>
      </c>
      <c r="B894" t="s">
        <v>100</v>
      </c>
      <c r="C894">
        <v>106</v>
      </c>
      <c r="D894">
        <v>94</v>
      </c>
      <c r="E894">
        <v>3</v>
      </c>
      <c r="F894">
        <v>3</v>
      </c>
    </row>
    <row r="895" spans="1:6" ht="17" x14ac:dyDescent="0.25">
      <c r="A895" s="6">
        <v>9404</v>
      </c>
      <c r="B895" t="s">
        <v>122</v>
      </c>
      <c r="C895">
        <v>183</v>
      </c>
      <c r="D895">
        <v>137</v>
      </c>
      <c r="E895">
        <v>3</v>
      </c>
      <c r="F895">
        <v>3</v>
      </c>
    </row>
    <row r="896" spans="1:6" ht="17" x14ac:dyDescent="0.25">
      <c r="A896" s="6">
        <v>9404</v>
      </c>
      <c r="B896" t="s">
        <v>102</v>
      </c>
      <c r="C896">
        <v>79</v>
      </c>
      <c r="D896">
        <v>54</v>
      </c>
      <c r="E896">
        <v>3</v>
      </c>
      <c r="F896">
        <v>3</v>
      </c>
    </row>
    <row r="897" spans="1:6" ht="17" x14ac:dyDescent="0.25">
      <c r="A897" s="6">
        <v>9404</v>
      </c>
      <c r="B897" t="s">
        <v>123</v>
      </c>
      <c r="C897">
        <v>117</v>
      </c>
      <c r="D897">
        <v>88</v>
      </c>
      <c r="E897">
        <v>3</v>
      </c>
      <c r="F897">
        <v>3</v>
      </c>
    </row>
    <row r="898" spans="1:6" ht="17" x14ac:dyDescent="0.25">
      <c r="A898" s="6">
        <v>9452</v>
      </c>
      <c r="B898" t="s">
        <v>100</v>
      </c>
      <c r="C898">
        <v>131</v>
      </c>
      <c r="D898">
        <v>117</v>
      </c>
      <c r="E898">
        <v>3</v>
      </c>
      <c r="F898">
        <v>3</v>
      </c>
    </row>
    <row r="899" spans="1:6" ht="17" x14ac:dyDescent="0.25">
      <c r="A899" s="6">
        <v>9452</v>
      </c>
      <c r="B899" t="s">
        <v>122</v>
      </c>
      <c r="C899">
        <v>177</v>
      </c>
      <c r="D899">
        <v>115</v>
      </c>
      <c r="E899">
        <v>3</v>
      </c>
      <c r="F899">
        <v>3</v>
      </c>
    </row>
    <row r="900" spans="1:6" ht="17" x14ac:dyDescent="0.25">
      <c r="A900" s="6">
        <v>9452</v>
      </c>
      <c r="B900" t="s">
        <v>102</v>
      </c>
      <c r="C900">
        <v>80</v>
      </c>
      <c r="D900">
        <v>61</v>
      </c>
      <c r="E900">
        <v>3</v>
      </c>
      <c r="F900">
        <v>3</v>
      </c>
    </row>
    <row r="901" spans="1:6" ht="17" x14ac:dyDescent="0.25">
      <c r="A901" s="6">
        <v>9452</v>
      </c>
      <c r="B901" t="s">
        <v>123</v>
      </c>
      <c r="C901">
        <v>109</v>
      </c>
      <c r="D901">
        <v>80</v>
      </c>
      <c r="E901">
        <v>3</v>
      </c>
      <c r="F901">
        <v>3</v>
      </c>
    </row>
    <row r="902" spans="1:6" ht="17" x14ac:dyDescent="0.25">
      <c r="A902" s="6">
        <v>9500</v>
      </c>
      <c r="B902" t="s">
        <v>100</v>
      </c>
      <c r="C902">
        <v>139</v>
      </c>
      <c r="D902">
        <v>138</v>
      </c>
      <c r="E902">
        <v>3</v>
      </c>
      <c r="F902">
        <v>3</v>
      </c>
    </row>
    <row r="903" spans="1:6" ht="17" x14ac:dyDescent="0.25">
      <c r="A903" s="6">
        <v>9500</v>
      </c>
      <c r="B903" t="s">
        <v>122</v>
      </c>
      <c r="C903">
        <v>163</v>
      </c>
      <c r="D903">
        <v>108</v>
      </c>
      <c r="E903">
        <v>3</v>
      </c>
      <c r="F903">
        <v>3</v>
      </c>
    </row>
    <row r="904" spans="1:6" ht="17" x14ac:dyDescent="0.25">
      <c r="A904" s="6">
        <v>9500</v>
      </c>
      <c r="B904" t="s">
        <v>102</v>
      </c>
      <c r="C904">
        <v>84</v>
      </c>
      <c r="D904">
        <v>98</v>
      </c>
      <c r="E904">
        <v>3</v>
      </c>
      <c r="F904">
        <v>3</v>
      </c>
    </row>
    <row r="905" spans="1:6" ht="17" x14ac:dyDescent="0.25">
      <c r="A905" s="6">
        <v>9500</v>
      </c>
      <c r="B905" t="s">
        <v>123</v>
      </c>
      <c r="C905">
        <v>104</v>
      </c>
      <c r="D905">
        <v>86</v>
      </c>
      <c r="E905">
        <v>3</v>
      </c>
      <c r="F905">
        <v>3</v>
      </c>
    </row>
    <row r="906" spans="1:6" ht="17" x14ac:dyDescent="0.25">
      <c r="A906" s="6">
        <v>9548</v>
      </c>
      <c r="B906" t="s">
        <v>100</v>
      </c>
      <c r="C906">
        <v>154</v>
      </c>
      <c r="D906">
        <v>104</v>
      </c>
      <c r="E906">
        <v>3</v>
      </c>
      <c r="F906">
        <v>3</v>
      </c>
    </row>
    <row r="907" spans="1:6" ht="17" x14ac:dyDescent="0.25">
      <c r="A907" s="6">
        <v>9548</v>
      </c>
      <c r="B907" t="s">
        <v>122</v>
      </c>
      <c r="C907">
        <v>192</v>
      </c>
      <c r="D907">
        <v>173</v>
      </c>
      <c r="E907">
        <v>3</v>
      </c>
      <c r="F907">
        <v>3</v>
      </c>
    </row>
    <row r="908" spans="1:6" ht="17" x14ac:dyDescent="0.25">
      <c r="A908" s="6">
        <v>9548</v>
      </c>
      <c r="B908" t="s">
        <v>102</v>
      </c>
      <c r="C908">
        <v>111</v>
      </c>
      <c r="D908">
        <v>75</v>
      </c>
      <c r="E908">
        <v>3</v>
      </c>
      <c r="F908">
        <v>3</v>
      </c>
    </row>
    <row r="909" spans="1:6" ht="17" x14ac:dyDescent="0.25">
      <c r="A909" s="6">
        <v>9548</v>
      </c>
      <c r="B909" t="s">
        <v>123</v>
      </c>
      <c r="C909">
        <v>113</v>
      </c>
      <c r="D909">
        <v>115</v>
      </c>
      <c r="E909">
        <v>3</v>
      </c>
      <c r="F909">
        <v>3</v>
      </c>
    </row>
    <row r="910" spans="1:6" ht="17" x14ac:dyDescent="0.25">
      <c r="A910" s="6">
        <v>9596</v>
      </c>
      <c r="B910" t="s">
        <v>100</v>
      </c>
      <c r="C910">
        <v>142</v>
      </c>
      <c r="D910">
        <v>124</v>
      </c>
      <c r="E910">
        <v>3</v>
      </c>
      <c r="F910">
        <v>3</v>
      </c>
    </row>
    <row r="911" spans="1:6" ht="17" x14ac:dyDescent="0.25">
      <c r="A911" s="6">
        <v>9596</v>
      </c>
      <c r="B911" t="s">
        <v>122</v>
      </c>
      <c r="C911">
        <v>165</v>
      </c>
      <c r="D911">
        <v>153</v>
      </c>
      <c r="E911">
        <v>3</v>
      </c>
      <c r="F911">
        <v>3</v>
      </c>
    </row>
    <row r="912" spans="1:6" ht="17" x14ac:dyDescent="0.25">
      <c r="A912" s="6">
        <v>9596</v>
      </c>
      <c r="B912" t="s">
        <v>102</v>
      </c>
      <c r="C912">
        <v>101</v>
      </c>
      <c r="D912">
        <v>57</v>
      </c>
      <c r="E912">
        <v>3</v>
      </c>
      <c r="F912">
        <v>3</v>
      </c>
    </row>
    <row r="913" spans="1:6" ht="17" x14ac:dyDescent="0.25">
      <c r="A913" s="6">
        <v>9596</v>
      </c>
      <c r="B913" t="s">
        <v>123</v>
      </c>
      <c r="C913">
        <v>106</v>
      </c>
      <c r="D913">
        <v>89</v>
      </c>
      <c r="E913">
        <v>3</v>
      </c>
      <c r="F913">
        <v>3</v>
      </c>
    </row>
    <row r="914" spans="1:6" ht="17" x14ac:dyDescent="0.25">
      <c r="A914" s="6">
        <v>9644</v>
      </c>
      <c r="B914" t="s">
        <v>100</v>
      </c>
      <c r="C914">
        <v>141</v>
      </c>
      <c r="D914">
        <v>158</v>
      </c>
      <c r="E914">
        <v>3</v>
      </c>
      <c r="F914">
        <v>3</v>
      </c>
    </row>
    <row r="915" spans="1:6" ht="17" x14ac:dyDescent="0.25">
      <c r="A915" s="6">
        <v>9644</v>
      </c>
      <c r="B915" t="s">
        <v>122</v>
      </c>
      <c r="C915">
        <v>197</v>
      </c>
      <c r="D915">
        <v>163</v>
      </c>
      <c r="E915">
        <v>3</v>
      </c>
      <c r="F915">
        <v>3</v>
      </c>
    </row>
    <row r="916" spans="1:6" ht="17" x14ac:dyDescent="0.25">
      <c r="A916" s="6">
        <v>9644</v>
      </c>
      <c r="B916" t="s">
        <v>102</v>
      </c>
      <c r="C916">
        <v>84</v>
      </c>
      <c r="D916">
        <v>82</v>
      </c>
      <c r="E916">
        <v>3</v>
      </c>
      <c r="F916">
        <v>3</v>
      </c>
    </row>
    <row r="917" spans="1:6" ht="17" x14ac:dyDescent="0.25">
      <c r="A917" s="6">
        <v>9644</v>
      </c>
      <c r="B917" t="s">
        <v>123</v>
      </c>
      <c r="C917">
        <v>89</v>
      </c>
      <c r="D917">
        <v>101</v>
      </c>
      <c r="E917">
        <v>3</v>
      </c>
      <c r="F917">
        <v>3</v>
      </c>
    </row>
    <row r="918" spans="1:6" ht="17" x14ac:dyDescent="0.25">
      <c r="A918" s="6">
        <v>9692</v>
      </c>
      <c r="B918" t="s">
        <v>100</v>
      </c>
      <c r="C918">
        <v>150</v>
      </c>
      <c r="D918">
        <v>120</v>
      </c>
      <c r="E918">
        <v>3</v>
      </c>
      <c r="F918">
        <v>3</v>
      </c>
    </row>
    <row r="919" spans="1:6" ht="17" x14ac:dyDescent="0.25">
      <c r="A919" s="6">
        <v>9692</v>
      </c>
      <c r="B919" t="s">
        <v>122</v>
      </c>
      <c r="C919">
        <v>172</v>
      </c>
      <c r="D919">
        <v>141</v>
      </c>
      <c r="E919">
        <v>3</v>
      </c>
      <c r="F919">
        <v>3</v>
      </c>
    </row>
    <row r="920" spans="1:6" ht="17" x14ac:dyDescent="0.25">
      <c r="A920" s="6">
        <v>9692</v>
      </c>
      <c r="B920" t="s">
        <v>102</v>
      </c>
      <c r="C920">
        <v>92</v>
      </c>
      <c r="D920">
        <v>99</v>
      </c>
      <c r="E920">
        <v>3</v>
      </c>
      <c r="F920">
        <v>3</v>
      </c>
    </row>
    <row r="921" spans="1:6" ht="17" x14ac:dyDescent="0.25">
      <c r="A921" s="6">
        <v>9692</v>
      </c>
      <c r="B921" t="s">
        <v>123</v>
      </c>
      <c r="C921">
        <v>121</v>
      </c>
      <c r="D921">
        <v>90</v>
      </c>
      <c r="E921">
        <v>3</v>
      </c>
      <c r="F921">
        <v>3</v>
      </c>
    </row>
    <row r="922" spans="1:6" ht="17" x14ac:dyDescent="0.25">
      <c r="A922" s="6">
        <v>9740</v>
      </c>
      <c r="B922" t="s">
        <v>100</v>
      </c>
      <c r="C922">
        <v>129</v>
      </c>
      <c r="D922">
        <v>99</v>
      </c>
      <c r="E922">
        <v>3</v>
      </c>
      <c r="F922">
        <v>3</v>
      </c>
    </row>
    <row r="923" spans="1:6" ht="17" x14ac:dyDescent="0.25">
      <c r="A923" s="6">
        <v>9740</v>
      </c>
      <c r="B923" t="s">
        <v>122</v>
      </c>
      <c r="C923">
        <v>209</v>
      </c>
      <c r="D923">
        <v>112</v>
      </c>
      <c r="E923">
        <v>3</v>
      </c>
      <c r="F923">
        <v>3</v>
      </c>
    </row>
    <row r="924" spans="1:6" ht="17" x14ac:dyDescent="0.25">
      <c r="A924" s="6">
        <v>9740</v>
      </c>
      <c r="B924" t="s">
        <v>102</v>
      </c>
      <c r="C924">
        <v>113</v>
      </c>
      <c r="D924">
        <v>64</v>
      </c>
      <c r="E924">
        <v>3</v>
      </c>
      <c r="F924">
        <v>3</v>
      </c>
    </row>
    <row r="925" spans="1:6" ht="17" x14ac:dyDescent="0.25">
      <c r="A925" s="6">
        <v>9740</v>
      </c>
      <c r="B925" t="s">
        <v>123</v>
      </c>
      <c r="C925">
        <v>90</v>
      </c>
      <c r="D925">
        <v>75</v>
      </c>
      <c r="E925">
        <v>3</v>
      </c>
      <c r="F925">
        <v>3</v>
      </c>
    </row>
    <row r="926" spans="1:6" ht="17" x14ac:dyDescent="0.25">
      <c r="A926" s="6">
        <v>9788</v>
      </c>
      <c r="B926" t="s">
        <v>100</v>
      </c>
      <c r="C926">
        <v>135</v>
      </c>
      <c r="D926">
        <v>67</v>
      </c>
      <c r="E926">
        <v>3</v>
      </c>
      <c r="F926">
        <v>3</v>
      </c>
    </row>
    <row r="927" spans="1:6" ht="17" x14ac:dyDescent="0.25">
      <c r="A927" s="6">
        <v>9788</v>
      </c>
      <c r="B927" t="s">
        <v>122</v>
      </c>
      <c r="C927">
        <v>199</v>
      </c>
      <c r="D927">
        <v>79</v>
      </c>
      <c r="E927">
        <v>3</v>
      </c>
      <c r="F927">
        <v>3</v>
      </c>
    </row>
    <row r="928" spans="1:6" ht="17" x14ac:dyDescent="0.25">
      <c r="A928" s="6">
        <v>9788</v>
      </c>
      <c r="B928" t="s">
        <v>102</v>
      </c>
      <c r="C928">
        <v>63</v>
      </c>
      <c r="D928">
        <v>97</v>
      </c>
      <c r="E928">
        <v>3</v>
      </c>
      <c r="F928">
        <v>3</v>
      </c>
    </row>
    <row r="929" spans="1:6" ht="17" x14ac:dyDescent="0.25">
      <c r="A929" s="6">
        <v>9788</v>
      </c>
      <c r="B929" t="s">
        <v>123</v>
      </c>
      <c r="C929">
        <v>110</v>
      </c>
      <c r="D929">
        <v>67</v>
      </c>
      <c r="E929">
        <v>3</v>
      </c>
      <c r="F929">
        <v>3</v>
      </c>
    </row>
    <row r="930" spans="1:6" ht="17" x14ac:dyDescent="0.25">
      <c r="A930" s="6">
        <v>9836</v>
      </c>
      <c r="B930" t="s">
        <v>100</v>
      </c>
      <c r="C930">
        <v>112</v>
      </c>
      <c r="D930">
        <v>99</v>
      </c>
      <c r="E930">
        <v>3</v>
      </c>
      <c r="F930">
        <v>3</v>
      </c>
    </row>
    <row r="931" spans="1:6" ht="17" x14ac:dyDescent="0.25">
      <c r="A931" s="6">
        <v>9836</v>
      </c>
      <c r="B931" t="s">
        <v>122</v>
      </c>
      <c r="C931">
        <v>203</v>
      </c>
      <c r="D931">
        <v>152</v>
      </c>
      <c r="E931">
        <v>3</v>
      </c>
      <c r="F931">
        <v>3</v>
      </c>
    </row>
    <row r="932" spans="1:6" ht="17" x14ac:dyDescent="0.25">
      <c r="A932" s="6">
        <v>9836</v>
      </c>
      <c r="B932" t="s">
        <v>102</v>
      </c>
      <c r="C932">
        <v>90</v>
      </c>
      <c r="D932">
        <v>83</v>
      </c>
      <c r="E932">
        <v>3</v>
      </c>
      <c r="F932">
        <v>3</v>
      </c>
    </row>
    <row r="933" spans="1:6" ht="17" x14ac:dyDescent="0.25">
      <c r="A933" s="6">
        <v>9836</v>
      </c>
      <c r="B933" t="s">
        <v>123</v>
      </c>
      <c r="C933">
        <v>104</v>
      </c>
      <c r="D933">
        <v>94</v>
      </c>
      <c r="E933">
        <v>3</v>
      </c>
      <c r="F933">
        <v>3</v>
      </c>
    </row>
    <row r="934" spans="1:6" ht="17" x14ac:dyDescent="0.25">
      <c r="A934" s="6">
        <v>9884</v>
      </c>
      <c r="B934" t="s">
        <v>100</v>
      </c>
      <c r="C934">
        <v>126</v>
      </c>
      <c r="D934">
        <v>129</v>
      </c>
      <c r="E934">
        <v>3</v>
      </c>
      <c r="F934">
        <v>3</v>
      </c>
    </row>
    <row r="935" spans="1:6" ht="17" x14ac:dyDescent="0.25">
      <c r="A935" s="6">
        <v>9884</v>
      </c>
      <c r="B935" t="s">
        <v>122</v>
      </c>
      <c r="C935">
        <v>201</v>
      </c>
      <c r="D935">
        <v>132</v>
      </c>
      <c r="E935">
        <v>3</v>
      </c>
      <c r="F935">
        <v>3</v>
      </c>
    </row>
    <row r="936" spans="1:6" ht="17" x14ac:dyDescent="0.25">
      <c r="A936" s="6">
        <v>9884</v>
      </c>
      <c r="B936" t="s">
        <v>102</v>
      </c>
      <c r="C936">
        <v>82</v>
      </c>
      <c r="D936">
        <v>73</v>
      </c>
      <c r="E936">
        <v>3</v>
      </c>
      <c r="F936">
        <v>3</v>
      </c>
    </row>
    <row r="937" spans="1:6" ht="17" x14ac:dyDescent="0.25">
      <c r="A937" s="6">
        <v>9884</v>
      </c>
      <c r="B937" t="s">
        <v>123</v>
      </c>
      <c r="C937">
        <v>132</v>
      </c>
      <c r="D937">
        <v>93</v>
      </c>
      <c r="E937">
        <v>3</v>
      </c>
      <c r="F937">
        <v>3</v>
      </c>
    </row>
    <row r="938" spans="1:6" ht="17" x14ac:dyDescent="0.25">
      <c r="A938" s="6">
        <v>9932</v>
      </c>
      <c r="B938" t="s">
        <v>100</v>
      </c>
      <c r="C938">
        <v>165</v>
      </c>
      <c r="D938">
        <v>105</v>
      </c>
      <c r="E938">
        <v>3</v>
      </c>
      <c r="F938">
        <v>3</v>
      </c>
    </row>
    <row r="939" spans="1:6" ht="17" x14ac:dyDescent="0.25">
      <c r="A939" s="6">
        <v>9932</v>
      </c>
      <c r="B939" t="s">
        <v>122</v>
      </c>
      <c r="C939">
        <v>192</v>
      </c>
      <c r="D939">
        <v>140</v>
      </c>
      <c r="E939">
        <v>3</v>
      </c>
      <c r="F939">
        <v>3</v>
      </c>
    </row>
    <row r="940" spans="1:6" ht="17" x14ac:dyDescent="0.25">
      <c r="A940" s="6">
        <v>9932</v>
      </c>
      <c r="B940" t="s">
        <v>102</v>
      </c>
      <c r="C940">
        <v>85</v>
      </c>
      <c r="D940">
        <v>60</v>
      </c>
      <c r="E940">
        <v>3</v>
      </c>
      <c r="F940">
        <v>3</v>
      </c>
    </row>
    <row r="941" spans="1:6" ht="17" x14ac:dyDescent="0.25">
      <c r="A941" s="6">
        <v>9932</v>
      </c>
      <c r="B941" t="s">
        <v>123</v>
      </c>
      <c r="C941">
        <v>98</v>
      </c>
      <c r="D941">
        <v>98</v>
      </c>
      <c r="E941">
        <v>3</v>
      </c>
      <c r="F941">
        <v>3</v>
      </c>
    </row>
    <row r="942" spans="1:6" ht="17" x14ac:dyDescent="0.25">
      <c r="A942" s="6">
        <v>9980</v>
      </c>
      <c r="B942" t="s">
        <v>100</v>
      </c>
      <c r="C942">
        <v>144</v>
      </c>
      <c r="D942">
        <v>101</v>
      </c>
      <c r="E942">
        <v>3</v>
      </c>
      <c r="F942">
        <v>3</v>
      </c>
    </row>
    <row r="943" spans="1:6" ht="17" x14ac:dyDescent="0.25">
      <c r="A943" s="6">
        <v>9980</v>
      </c>
      <c r="B943" t="s">
        <v>122</v>
      </c>
      <c r="C943">
        <v>204</v>
      </c>
      <c r="D943">
        <v>134</v>
      </c>
      <c r="E943">
        <v>3</v>
      </c>
      <c r="F943">
        <v>3</v>
      </c>
    </row>
    <row r="944" spans="1:6" ht="17" x14ac:dyDescent="0.25">
      <c r="A944" s="6">
        <v>9980</v>
      </c>
      <c r="B944" t="s">
        <v>102</v>
      </c>
      <c r="C944">
        <v>90</v>
      </c>
      <c r="D944">
        <v>48</v>
      </c>
      <c r="E944">
        <v>3</v>
      </c>
      <c r="F944">
        <v>3</v>
      </c>
    </row>
    <row r="945" spans="1:6" ht="17" x14ac:dyDescent="0.25">
      <c r="A945" s="6">
        <v>9980</v>
      </c>
      <c r="B945" t="s">
        <v>123</v>
      </c>
      <c r="C945">
        <v>92</v>
      </c>
      <c r="D945">
        <v>81</v>
      </c>
      <c r="E945">
        <v>3</v>
      </c>
      <c r="F945">
        <v>3</v>
      </c>
    </row>
    <row r="946" spans="1:6" ht="17" x14ac:dyDescent="0.25">
      <c r="A946" s="6">
        <v>10028</v>
      </c>
      <c r="B946" t="s">
        <v>100</v>
      </c>
      <c r="C946">
        <v>173</v>
      </c>
      <c r="D946">
        <v>120</v>
      </c>
      <c r="E946">
        <v>3</v>
      </c>
      <c r="F946">
        <v>3</v>
      </c>
    </row>
    <row r="947" spans="1:6" ht="17" x14ac:dyDescent="0.25">
      <c r="A947" s="6">
        <v>10028</v>
      </c>
      <c r="B947" t="s">
        <v>122</v>
      </c>
      <c r="C947">
        <v>215</v>
      </c>
      <c r="D947">
        <v>174</v>
      </c>
      <c r="E947">
        <v>3</v>
      </c>
      <c r="F947">
        <v>3</v>
      </c>
    </row>
    <row r="948" spans="1:6" ht="17" x14ac:dyDescent="0.25">
      <c r="A948" s="6">
        <v>10028</v>
      </c>
      <c r="B948" t="s">
        <v>102</v>
      </c>
      <c r="C948">
        <v>112</v>
      </c>
      <c r="D948">
        <v>70</v>
      </c>
      <c r="E948">
        <v>3</v>
      </c>
      <c r="F948">
        <v>3</v>
      </c>
    </row>
    <row r="949" spans="1:6" ht="17" x14ac:dyDescent="0.25">
      <c r="A949" s="6">
        <v>10028</v>
      </c>
      <c r="B949" t="s">
        <v>123</v>
      </c>
      <c r="C949">
        <v>138</v>
      </c>
      <c r="D949">
        <v>93</v>
      </c>
      <c r="E949">
        <v>3</v>
      </c>
      <c r="F949">
        <v>3</v>
      </c>
    </row>
    <row r="950" spans="1:6" ht="17" x14ac:dyDescent="0.25">
      <c r="A950" s="6">
        <v>10076</v>
      </c>
      <c r="B950" t="s">
        <v>100</v>
      </c>
      <c r="C950">
        <v>142</v>
      </c>
      <c r="D950">
        <v>144</v>
      </c>
      <c r="E950">
        <v>3</v>
      </c>
      <c r="F950">
        <v>3</v>
      </c>
    </row>
    <row r="951" spans="1:6" ht="17" x14ac:dyDescent="0.25">
      <c r="A951" s="6">
        <v>10076</v>
      </c>
      <c r="B951" t="s">
        <v>122</v>
      </c>
      <c r="C951">
        <v>226</v>
      </c>
      <c r="D951">
        <v>201</v>
      </c>
      <c r="E951">
        <v>3</v>
      </c>
      <c r="F951">
        <v>3</v>
      </c>
    </row>
    <row r="952" spans="1:6" ht="17" x14ac:dyDescent="0.25">
      <c r="A952" s="6">
        <v>10076</v>
      </c>
      <c r="B952" t="s">
        <v>102</v>
      </c>
      <c r="C952">
        <v>111</v>
      </c>
      <c r="D952">
        <v>80</v>
      </c>
      <c r="E952">
        <v>3</v>
      </c>
      <c r="F952">
        <v>3</v>
      </c>
    </row>
    <row r="953" spans="1:6" ht="17" x14ac:dyDescent="0.25">
      <c r="A953" s="6">
        <v>10076</v>
      </c>
      <c r="B953" t="s">
        <v>123</v>
      </c>
      <c r="C953">
        <v>96</v>
      </c>
      <c r="D953">
        <v>101</v>
      </c>
      <c r="E953">
        <v>3</v>
      </c>
      <c r="F953">
        <v>3</v>
      </c>
    </row>
    <row r="954" spans="1:6" ht="17" x14ac:dyDescent="0.25">
      <c r="A954" s="6">
        <v>10124</v>
      </c>
      <c r="B954" t="s">
        <v>100</v>
      </c>
      <c r="C954">
        <v>159</v>
      </c>
      <c r="D954">
        <v>143</v>
      </c>
      <c r="E954">
        <v>3</v>
      </c>
      <c r="F954">
        <v>3</v>
      </c>
    </row>
    <row r="955" spans="1:6" ht="17" x14ac:dyDescent="0.25">
      <c r="A955" s="6">
        <v>10124</v>
      </c>
      <c r="B955" t="s">
        <v>122</v>
      </c>
      <c r="C955">
        <v>185</v>
      </c>
      <c r="D955">
        <v>192</v>
      </c>
      <c r="E955">
        <v>3</v>
      </c>
      <c r="F955">
        <v>3</v>
      </c>
    </row>
    <row r="956" spans="1:6" ht="17" x14ac:dyDescent="0.25">
      <c r="A956" s="6">
        <v>10124</v>
      </c>
      <c r="B956" t="s">
        <v>102</v>
      </c>
      <c r="C956">
        <v>106</v>
      </c>
      <c r="D956">
        <v>86</v>
      </c>
      <c r="E956">
        <v>3</v>
      </c>
      <c r="F956">
        <v>3</v>
      </c>
    </row>
    <row r="957" spans="1:6" ht="17" x14ac:dyDescent="0.25">
      <c r="A957" s="6">
        <v>10124</v>
      </c>
      <c r="B957" t="s">
        <v>123</v>
      </c>
      <c r="C957">
        <v>115</v>
      </c>
      <c r="D957">
        <v>103</v>
      </c>
      <c r="E957">
        <v>3</v>
      </c>
      <c r="F957">
        <v>3</v>
      </c>
    </row>
    <row r="958" spans="1:6" ht="17" x14ac:dyDescent="0.25">
      <c r="A958" s="6">
        <v>10172</v>
      </c>
      <c r="B958" t="s">
        <v>100</v>
      </c>
      <c r="C958">
        <v>146</v>
      </c>
      <c r="D958">
        <v>123</v>
      </c>
      <c r="E958">
        <v>3</v>
      </c>
      <c r="F958">
        <v>3</v>
      </c>
    </row>
    <row r="959" spans="1:6" ht="17" x14ac:dyDescent="0.25">
      <c r="A959" s="6">
        <v>10172</v>
      </c>
      <c r="B959" t="s">
        <v>122</v>
      </c>
      <c r="C959">
        <v>170</v>
      </c>
      <c r="D959">
        <v>134</v>
      </c>
      <c r="E959">
        <v>3</v>
      </c>
      <c r="F959">
        <v>3</v>
      </c>
    </row>
    <row r="960" spans="1:6" ht="17" x14ac:dyDescent="0.25">
      <c r="A960" s="6">
        <v>10172</v>
      </c>
      <c r="B960" t="s">
        <v>102</v>
      </c>
      <c r="C960">
        <v>79</v>
      </c>
      <c r="D960">
        <v>53</v>
      </c>
      <c r="E960">
        <v>3</v>
      </c>
      <c r="F960">
        <v>3</v>
      </c>
    </row>
    <row r="961" spans="1:6" ht="17" x14ac:dyDescent="0.25">
      <c r="A961" s="6">
        <v>10172</v>
      </c>
      <c r="B961" t="s">
        <v>123</v>
      </c>
      <c r="C961">
        <v>95</v>
      </c>
      <c r="D961">
        <v>87</v>
      </c>
      <c r="E961">
        <v>3</v>
      </c>
      <c r="F961">
        <v>3</v>
      </c>
    </row>
    <row r="962" spans="1:6" ht="17" x14ac:dyDescent="0.25">
      <c r="A962" s="6">
        <v>10220</v>
      </c>
      <c r="B962" t="s">
        <v>100</v>
      </c>
      <c r="C962">
        <v>172</v>
      </c>
      <c r="D962">
        <v>131</v>
      </c>
      <c r="E962">
        <v>3</v>
      </c>
      <c r="F962">
        <v>3</v>
      </c>
    </row>
    <row r="963" spans="1:6" ht="17" x14ac:dyDescent="0.25">
      <c r="A963" s="6">
        <v>10220</v>
      </c>
      <c r="B963" t="s">
        <v>122</v>
      </c>
      <c r="C963">
        <v>216</v>
      </c>
      <c r="D963">
        <v>147</v>
      </c>
      <c r="E963">
        <v>3</v>
      </c>
      <c r="F963">
        <v>3</v>
      </c>
    </row>
    <row r="964" spans="1:6" ht="17" x14ac:dyDescent="0.25">
      <c r="A964" s="6">
        <v>10220</v>
      </c>
      <c r="B964" t="s">
        <v>102</v>
      </c>
      <c r="C964">
        <v>96</v>
      </c>
      <c r="D964">
        <v>78</v>
      </c>
      <c r="E964">
        <v>3</v>
      </c>
      <c r="F964">
        <v>3</v>
      </c>
    </row>
    <row r="965" spans="1:6" ht="17" x14ac:dyDescent="0.25">
      <c r="A965" s="6">
        <v>10220</v>
      </c>
      <c r="B965" t="s">
        <v>123</v>
      </c>
      <c r="C965">
        <v>120</v>
      </c>
      <c r="D965">
        <v>106</v>
      </c>
      <c r="E965">
        <v>3</v>
      </c>
      <c r="F965">
        <v>3</v>
      </c>
    </row>
    <row r="966" spans="1:6" ht="17" x14ac:dyDescent="0.25">
      <c r="A966" s="6">
        <v>10268</v>
      </c>
      <c r="B966" t="s">
        <v>100</v>
      </c>
      <c r="C966">
        <v>167</v>
      </c>
      <c r="D966">
        <v>157</v>
      </c>
      <c r="E966">
        <v>3</v>
      </c>
      <c r="F966">
        <v>3</v>
      </c>
    </row>
    <row r="967" spans="1:6" ht="17" x14ac:dyDescent="0.25">
      <c r="A967" s="6">
        <v>10268</v>
      </c>
      <c r="B967" t="s">
        <v>122</v>
      </c>
      <c r="C967">
        <v>202</v>
      </c>
      <c r="D967">
        <v>195</v>
      </c>
      <c r="E967">
        <v>3</v>
      </c>
      <c r="F967">
        <v>3</v>
      </c>
    </row>
    <row r="968" spans="1:6" ht="17" x14ac:dyDescent="0.25">
      <c r="A968" s="6">
        <v>10268</v>
      </c>
      <c r="B968" t="s">
        <v>102</v>
      </c>
      <c r="C968">
        <v>100</v>
      </c>
      <c r="D968">
        <v>85</v>
      </c>
      <c r="E968">
        <v>3</v>
      </c>
      <c r="F968">
        <v>3</v>
      </c>
    </row>
    <row r="969" spans="1:6" ht="17" x14ac:dyDescent="0.25">
      <c r="A969" s="6">
        <v>10268</v>
      </c>
      <c r="B969" t="s">
        <v>123</v>
      </c>
      <c r="C969">
        <v>105</v>
      </c>
      <c r="D969">
        <v>104</v>
      </c>
      <c r="E969">
        <v>3</v>
      </c>
      <c r="F969">
        <v>3</v>
      </c>
    </row>
    <row r="970" spans="1:6" ht="17" x14ac:dyDescent="0.25">
      <c r="A970" s="6">
        <v>10316</v>
      </c>
      <c r="B970" t="s">
        <v>100</v>
      </c>
      <c r="C970">
        <v>148</v>
      </c>
      <c r="D970">
        <v>129</v>
      </c>
      <c r="E970">
        <v>3</v>
      </c>
      <c r="F970">
        <v>3</v>
      </c>
    </row>
    <row r="971" spans="1:6" ht="17" x14ac:dyDescent="0.25">
      <c r="A971" s="6">
        <v>10316</v>
      </c>
      <c r="B971" t="s">
        <v>122</v>
      </c>
      <c r="C971">
        <v>175</v>
      </c>
      <c r="D971">
        <v>171</v>
      </c>
      <c r="E971">
        <v>3</v>
      </c>
      <c r="F971">
        <v>3</v>
      </c>
    </row>
    <row r="972" spans="1:6" ht="17" x14ac:dyDescent="0.25">
      <c r="A972" s="6">
        <v>10316</v>
      </c>
      <c r="B972" t="s">
        <v>102</v>
      </c>
      <c r="C972">
        <v>95</v>
      </c>
      <c r="D972">
        <v>69</v>
      </c>
      <c r="E972">
        <v>3</v>
      </c>
      <c r="F972">
        <v>3</v>
      </c>
    </row>
    <row r="973" spans="1:6" ht="17" x14ac:dyDescent="0.25">
      <c r="A973" s="6">
        <v>10316</v>
      </c>
      <c r="B973" t="s">
        <v>123</v>
      </c>
      <c r="C973">
        <v>100</v>
      </c>
      <c r="D973">
        <v>86</v>
      </c>
      <c r="E973">
        <v>3</v>
      </c>
      <c r="F973">
        <v>3</v>
      </c>
    </row>
    <row r="974" spans="1:6" ht="17" x14ac:dyDescent="0.25">
      <c r="A974" s="6">
        <v>10364</v>
      </c>
      <c r="B974" t="s">
        <v>100</v>
      </c>
      <c r="C974">
        <v>152</v>
      </c>
      <c r="D974">
        <v>110</v>
      </c>
      <c r="E974">
        <v>3</v>
      </c>
      <c r="F974">
        <v>3</v>
      </c>
    </row>
    <row r="975" spans="1:6" ht="17" x14ac:dyDescent="0.25">
      <c r="A975" s="6">
        <v>10364</v>
      </c>
      <c r="B975" t="s">
        <v>122</v>
      </c>
      <c r="C975">
        <v>219</v>
      </c>
      <c r="D975">
        <v>155</v>
      </c>
      <c r="E975">
        <v>3</v>
      </c>
      <c r="F975">
        <v>3</v>
      </c>
    </row>
    <row r="976" spans="1:6" ht="17" x14ac:dyDescent="0.25">
      <c r="A976" s="6">
        <v>10364</v>
      </c>
      <c r="B976" t="s">
        <v>102</v>
      </c>
      <c r="C976">
        <v>114</v>
      </c>
      <c r="D976">
        <v>65</v>
      </c>
      <c r="E976">
        <v>3</v>
      </c>
      <c r="F976">
        <v>3</v>
      </c>
    </row>
    <row r="977" spans="1:6" ht="17" x14ac:dyDescent="0.25">
      <c r="A977" s="6">
        <v>10364</v>
      </c>
      <c r="B977" t="s">
        <v>123</v>
      </c>
      <c r="C977">
        <v>125</v>
      </c>
      <c r="D977">
        <v>81</v>
      </c>
      <c r="E977">
        <v>3</v>
      </c>
      <c r="F977">
        <v>3</v>
      </c>
    </row>
    <row r="978" spans="1:6" ht="17" x14ac:dyDescent="0.25">
      <c r="A978" s="6">
        <v>10412</v>
      </c>
      <c r="B978" t="s">
        <v>100</v>
      </c>
      <c r="C978">
        <v>154</v>
      </c>
      <c r="D978">
        <v>140</v>
      </c>
      <c r="E978">
        <v>3</v>
      </c>
      <c r="F978">
        <v>3</v>
      </c>
    </row>
    <row r="979" spans="1:6" ht="17" x14ac:dyDescent="0.25">
      <c r="A979" s="6">
        <v>10412</v>
      </c>
      <c r="B979" t="s">
        <v>122</v>
      </c>
      <c r="C979">
        <v>193</v>
      </c>
      <c r="D979">
        <v>146</v>
      </c>
      <c r="E979">
        <v>3</v>
      </c>
      <c r="F979">
        <v>3</v>
      </c>
    </row>
    <row r="980" spans="1:6" ht="17" x14ac:dyDescent="0.25">
      <c r="A980" s="6">
        <v>10412</v>
      </c>
      <c r="B980" t="s">
        <v>102</v>
      </c>
      <c r="C980">
        <v>84</v>
      </c>
      <c r="D980">
        <v>68</v>
      </c>
      <c r="E980">
        <v>3</v>
      </c>
      <c r="F980">
        <v>3</v>
      </c>
    </row>
    <row r="981" spans="1:6" ht="17" x14ac:dyDescent="0.25">
      <c r="A981" s="6">
        <v>10412</v>
      </c>
      <c r="B981" t="s">
        <v>123</v>
      </c>
      <c r="C981">
        <v>92</v>
      </c>
      <c r="D981">
        <v>91</v>
      </c>
      <c r="E981">
        <v>3</v>
      </c>
      <c r="F981">
        <v>3</v>
      </c>
    </row>
    <row r="982" spans="1:6" ht="17" x14ac:dyDescent="0.25">
      <c r="A982" s="6">
        <v>10460</v>
      </c>
      <c r="B982" t="s">
        <v>100</v>
      </c>
      <c r="C982">
        <v>20</v>
      </c>
      <c r="D982">
        <v>18</v>
      </c>
      <c r="E982">
        <v>4</v>
      </c>
      <c r="F982">
        <v>4</v>
      </c>
    </row>
    <row r="983" spans="1:6" ht="17" x14ac:dyDescent="0.25">
      <c r="A983" s="6">
        <v>10460</v>
      </c>
      <c r="B983" t="s">
        <v>122</v>
      </c>
      <c r="C983">
        <v>30</v>
      </c>
      <c r="D983">
        <v>26</v>
      </c>
      <c r="E983">
        <v>4</v>
      </c>
      <c r="F983">
        <v>4</v>
      </c>
    </row>
    <row r="984" spans="1:6" ht="17" x14ac:dyDescent="0.25">
      <c r="A984" s="6">
        <v>10460</v>
      </c>
      <c r="B984" t="s">
        <v>102</v>
      </c>
      <c r="C984">
        <v>18</v>
      </c>
      <c r="D984">
        <v>14</v>
      </c>
      <c r="E984">
        <v>4</v>
      </c>
      <c r="F984">
        <v>4</v>
      </c>
    </row>
    <row r="985" spans="1:6" ht="17" x14ac:dyDescent="0.25">
      <c r="A985" s="6">
        <v>10460</v>
      </c>
      <c r="B985" t="s">
        <v>123</v>
      </c>
      <c r="C985">
        <v>16</v>
      </c>
      <c r="D985">
        <v>16</v>
      </c>
      <c r="E985">
        <v>4</v>
      </c>
      <c r="F985">
        <v>4</v>
      </c>
    </row>
    <row r="986" spans="1:6" ht="17" x14ac:dyDescent="0.25">
      <c r="A986" s="6">
        <v>10508</v>
      </c>
      <c r="B986" t="s">
        <v>100</v>
      </c>
      <c r="C986">
        <v>174</v>
      </c>
      <c r="D986">
        <v>153</v>
      </c>
      <c r="E986">
        <v>3</v>
      </c>
      <c r="F986">
        <v>3</v>
      </c>
    </row>
    <row r="987" spans="1:6" ht="17" x14ac:dyDescent="0.25">
      <c r="A987" s="6">
        <v>10508</v>
      </c>
      <c r="B987" t="s">
        <v>122</v>
      </c>
      <c r="C987">
        <v>246</v>
      </c>
      <c r="D987">
        <v>208</v>
      </c>
      <c r="E987">
        <v>3</v>
      </c>
      <c r="F987">
        <v>3</v>
      </c>
    </row>
    <row r="988" spans="1:6" ht="17" x14ac:dyDescent="0.25">
      <c r="A988" s="6">
        <v>10508</v>
      </c>
      <c r="B988" t="s">
        <v>102</v>
      </c>
      <c r="C988">
        <v>82</v>
      </c>
      <c r="D988">
        <v>81</v>
      </c>
      <c r="E988">
        <v>3</v>
      </c>
      <c r="F988">
        <v>3</v>
      </c>
    </row>
    <row r="989" spans="1:6" ht="17" x14ac:dyDescent="0.25">
      <c r="A989" s="6">
        <v>10508</v>
      </c>
      <c r="B989" t="s">
        <v>123</v>
      </c>
      <c r="C989">
        <v>119</v>
      </c>
      <c r="D989">
        <v>84</v>
      </c>
      <c r="E989">
        <v>3</v>
      </c>
      <c r="F989">
        <v>3</v>
      </c>
    </row>
    <row r="990" spans="1:6" ht="17" x14ac:dyDescent="0.25">
      <c r="A990" s="6">
        <v>10556</v>
      </c>
      <c r="B990" t="s">
        <v>100</v>
      </c>
      <c r="C990">
        <v>168</v>
      </c>
      <c r="D990">
        <v>110</v>
      </c>
      <c r="E990">
        <v>3</v>
      </c>
      <c r="F990">
        <v>3</v>
      </c>
    </row>
    <row r="991" spans="1:6" ht="17" x14ac:dyDescent="0.25">
      <c r="A991" s="6">
        <v>10556</v>
      </c>
      <c r="B991" t="s">
        <v>122</v>
      </c>
      <c r="C991">
        <v>208</v>
      </c>
      <c r="D991">
        <v>175</v>
      </c>
      <c r="E991">
        <v>3</v>
      </c>
      <c r="F991">
        <v>3</v>
      </c>
    </row>
    <row r="992" spans="1:6" ht="17" x14ac:dyDescent="0.25">
      <c r="A992" s="6">
        <v>10556</v>
      </c>
      <c r="B992" t="s">
        <v>102</v>
      </c>
      <c r="C992">
        <v>88</v>
      </c>
      <c r="D992">
        <v>66</v>
      </c>
      <c r="E992">
        <v>3</v>
      </c>
      <c r="F992">
        <v>3</v>
      </c>
    </row>
    <row r="993" spans="1:6" ht="17" x14ac:dyDescent="0.25">
      <c r="A993" s="6">
        <v>10556</v>
      </c>
      <c r="B993" t="s">
        <v>123</v>
      </c>
      <c r="C993">
        <v>96</v>
      </c>
      <c r="D993">
        <v>73</v>
      </c>
      <c r="E993">
        <v>3</v>
      </c>
      <c r="F993">
        <v>3</v>
      </c>
    </row>
    <row r="994" spans="1:6" ht="17" x14ac:dyDescent="0.25">
      <c r="A994" s="6">
        <v>10604</v>
      </c>
      <c r="B994" t="s">
        <v>100</v>
      </c>
      <c r="C994">
        <v>153</v>
      </c>
      <c r="D994">
        <v>122</v>
      </c>
      <c r="E994">
        <v>3</v>
      </c>
      <c r="F994">
        <v>3</v>
      </c>
    </row>
    <row r="995" spans="1:6" ht="17" x14ac:dyDescent="0.25">
      <c r="A995" s="6">
        <v>10604</v>
      </c>
      <c r="B995" t="s">
        <v>122</v>
      </c>
      <c r="C995">
        <v>186</v>
      </c>
      <c r="D995">
        <v>195</v>
      </c>
      <c r="E995">
        <v>3</v>
      </c>
      <c r="F995">
        <v>3</v>
      </c>
    </row>
    <row r="996" spans="1:6" ht="17" x14ac:dyDescent="0.25">
      <c r="A996" s="6">
        <v>10604</v>
      </c>
      <c r="B996" t="s">
        <v>102</v>
      </c>
      <c r="C996">
        <v>94</v>
      </c>
      <c r="D996">
        <v>78</v>
      </c>
      <c r="E996">
        <v>3</v>
      </c>
      <c r="F996">
        <v>3</v>
      </c>
    </row>
    <row r="997" spans="1:6" ht="17" x14ac:dyDescent="0.25">
      <c r="A997" s="6">
        <v>10604</v>
      </c>
      <c r="B997" t="s">
        <v>123</v>
      </c>
      <c r="C997">
        <v>117</v>
      </c>
      <c r="D997">
        <v>101</v>
      </c>
      <c r="E997">
        <v>3</v>
      </c>
      <c r="F997">
        <v>3</v>
      </c>
    </row>
    <row r="998" spans="1:6" ht="17" x14ac:dyDescent="0.25">
      <c r="A998" s="6">
        <v>10652</v>
      </c>
      <c r="B998" t="s">
        <v>100</v>
      </c>
      <c r="C998">
        <v>168</v>
      </c>
      <c r="D998">
        <v>141</v>
      </c>
      <c r="E998">
        <v>3</v>
      </c>
      <c r="F998">
        <v>3</v>
      </c>
    </row>
    <row r="999" spans="1:6" ht="17" x14ac:dyDescent="0.25">
      <c r="A999" s="6">
        <v>10652</v>
      </c>
      <c r="B999" t="s">
        <v>122</v>
      </c>
      <c r="C999">
        <v>162</v>
      </c>
      <c r="D999">
        <v>116</v>
      </c>
      <c r="E999">
        <v>3</v>
      </c>
      <c r="F999">
        <v>3</v>
      </c>
    </row>
    <row r="1000" spans="1:6" ht="17" x14ac:dyDescent="0.25">
      <c r="A1000" s="6">
        <v>10652</v>
      </c>
      <c r="B1000" t="s">
        <v>102</v>
      </c>
      <c r="C1000">
        <v>85</v>
      </c>
      <c r="D1000">
        <v>80</v>
      </c>
      <c r="E1000">
        <v>3</v>
      </c>
      <c r="F1000">
        <v>3</v>
      </c>
    </row>
    <row r="1001" spans="1:6" ht="17" x14ac:dyDescent="0.25">
      <c r="A1001" s="6">
        <v>10652</v>
      </c>
      <c r="B1001" t="s">
        <v>123</v>
      </c>
      <c r="C1001">
        <v>90</v>
      </c>
      <c r="D1001">
        <v>103</v>
      </c>
      <c r="E1001">
        <v>3</v>
      </c>
      <c r="F1001">
        <v>3</v>
      </c>
    </row>
    <row r="1002" spans="1:6" ht="17" x14ac:dyDescent="0.25">
      <c r="A1002" s="6">
        <v>10700</v>
      </c>
      <c r="B1002" t="s">
        <v>100</v>
      </c>
      <c r="C1002">
        <v>180</v>
      </c>
      <c r="D1002">
        <v>118</v>
      </c>
      <c r="E1002">
        <v>3</v>
      </c>
      <c r="F1002">
        <v>3</v>
      </c>
    </row>
    <row r="1003" spans="1:6" ht="17" x14ac:dyDescent="0.25">
      <c r="A1003" s="6">
        <v>10700</v>
      </c>
      <c r="B1003" t="s">
        <v>122</v>
      </c>
      <c r="C1003">
        <v>195</v>
      </c>
      <c r="D1003">
        <v>186</v>
      </c>
      <c r="E1003">
        <v>3</v>
      </c>
      <c r="F1003">
        <v>3</v>
      </c>
    </row>
    <row r="1004" spans="1:6" ht="17" x14ac:dyDescent="0.25">
      <c r="A1004" s="6">
        <v>10700</v>
      </c>
      <c r="B1004" t="s">
        <v>102</v>
      </c>
      <c r="C1004">
        <v>84</v>
      </c>
      <c r="D1004">
        <v>91</v>
      </c>
      <c r="E1004">
        <v>3</v>
      </c>
      <c r="F1004">
        <v>3</v>
      </c>
    </row>
    <row r="1005" spans="1:6" ht="17" x14ac:dyDescent="0.25">
      <c r="A1005" s="6">
        <v>10700</v>
      </c>
      <c r="B1005" t="s">
        <v>123</v>
      </c>
      <c r="C1005">
        <v>115</v>
      </c>
      <c r="D1005">
        <v>120</v>
      </c>
      <c r="E1005">
        <v>3</v>
      </c>
      <c r="F1005">
        <v>3</v>
      </c>
    </row>
    <row r="1006" spans="1:6" ht="17" x14ac:dyDescent="0.25">
      <c r="A1006" s="6">
        <v>10748</v>
      </c>
      <c r="B1006" t="s">
        <v>100</v>
      </c>
      <c r="C1006">
        <v>164</v>
      </c>
      <c r="D1006">
        <v>161</v>
      </c>
      <c r="E1006">
        <v>3</v>
      </c>
      <c r="F1006">
        <v>3</v>
      </c>
    </row>
    <row r="1007" spans="1:6" ht="17" x14ac:dyDescent="0.25">
      <c r="A1007" s="6">
        <v>10748</v>
      </c>
      <c r="B1007" t="s">
        <v>122</v>
      </c>
      <c r="C1007">
        <v>223</v>
      </c>
      <c r="D1007">
        <v>185</v>
      </c>
      <c r="E1007">
        <v>3</v>
      </c>
      <c r="F1007">
        <v>3</v>
      </c>
    </row>
    <row r="1008" spans="1:6" ht="17" x14ac:dyDescent="0.25">
      <c r="A1008" s="6">
        <v>10748</v>
      </c>
      <c r="B1008" t="s">
        <v>102</v>
      </c>
      <c r="C1008">
        <v>85</v>
      </c>
      <c r="D1008">
        <v>86</v>
      </c>
      <c r="E1008">
        <v>3</v>
      </c>
      <c r="F1008">
        <v>3</v>
      </c>
    </row>
    <row r="1009" spans="1:6" ht="17" x14ac:dyDescent="0.25">
      <c r="A1009" s="6">
        <v>10748</v>
      </c>
      <c r="B1009" t="s">
        <v>123</v>
      </c>
      <c r="C1009">
        <v>125</v>
      </c>
      <c r="D1009">
        <v>100</v>
      </c>
      <c r="E1009">
        <v>3</v>
      </c>
      <c r="F1009">
        <v>3</v>
      </c>
    </row>
    <row r="1010" spans="1:6" ht="17" x14ac:dyDescent="0.25">
      <c r="A1010" s="6">
        <v>10796</v>
      </c>
      <c r="B1010" t="s">
        <v>100</v>
      </c>
      <c r="C1010">
        <v>143</v>
      </c>
      <c r="D1010">
        <v>159</v>
      </c>
      <c r="E1010">
        <v>3</v>
      </c>
      <c r="F1010">
        <v>3</v>
      </c>
    </row>
    <row r="1011" spans="1:6" ht="17" x14ac:dyDescent="0.25">
      <c r="A1011" s="6">
        <v>10796</v>
      </c>
      <c r="B1011" t="s">
        <v>122</v>
      </c>
      <c r="C1011">
        <v>182</v>
      </c>
      <c r="D1011">
        <v>199</v>
      </c>
      <c r="E1011">
        <v>3</v>
      </c>
      <c r="F1011">
        <v>3</v>
      </c>
    </row>
    <row r="1012" spans="1:6" ht="17" x14ac:dyDescent="0.25">
      <c r="A1012" s="6">
        <v>10796</v>
      </c>
      <c r="B1012" t="s">
        <v>102</v>
      </c>
      <c r="C1012">
        <v>75</v>
      </c>
      <c r="D1012">
        <v>87</v>
      </c>
      <c r="E1012">
        <v>3</v>
      </c>
      <c r="F1012">
        <v>3</v>
      </c>
    </row>
    <row r="1013" spans="1:6" ht="17" x14ac:dyDescent="0.25">
      <c r="A1013" s="6">
        <v>10796</v>
      </c>
      <c r="B1013" t="s">
        <v>123</v>
      </c>
      <c r="C1013">
        <v>120</v>
      </c>
      <c r="D1013">
        <v>83</v>
      </c>
      <c r="E1013">
        <v>3</v>
      </c>
      <c r="F1013">
        <v>3</v>
      </c>
    </row>
    <row r="1014" spans="1:6" ht="17" x14ac:dyDescent="0.25">
      <c r="A1014" s="6">
        <v>10844</v>
      </c>
      <c r="B1014" t="s">
        <v>100</v>
      </c>
      <c r="C1014">
        <v>166</v>
      </c>
      <c r="D1014">
        <v>106</v>
      </c>
      <c r="E1014">
        <v>3</v>
      </c>
      <c r="F1014">
        <v>3</v>
      </c>
    </row>
    <row r="1015" spans="1:6" ht="17" x14ac:dyDescent="0.25">
      <c r="A1015" s="6">
        <v>10844</v>
      </c>
      <c r="B1015" t="s">
        <v>122</v>
      </c>
      <c r="C1015">
        <v>182</v>
      </c>
      <c r="D1015">
        <v>126</v>
      </c>
      <c r="E1015">
        <v>3</v>
      </c>
      <c r="F1015">
        <v>3</v>
      </c>
    </row>
    <row r="1016" spans="1:6" ht="17" x14ac:dyDescent="0.25">
      <c r="A1016" s="6">
        <v>10844</v>
      </c>
      <c r="B1016" t="s">
        <v>102</v>
      </c>
      <c r="C1016">
        <v>64</v>
      </c>
      <c r="D1016">
        <v>45</v>
      </c>
      <c r="E1016">
        <v>3</v>
      </c>
      <c r="F1016">
        <v>3</v>
      </c>
    </row>
    <row r="1017" spans="1:6" ht="17" x14ac:dyDescent="0.25">
      <c r="A1017" s="6">
        <v>10844</v>
      </c>
      <c r="B1017" t="s">
        <v>123</v>
      </c>
      <c r="C1017">
        <v>97</v>
      </c>
      <c r="D1017">
        <v>88</v>
      </c>
      <c r="E1017">
        <v>3</v>
      </c>
      <c r="F1017">
        <v>3</v>
      </c>
    </row>
    <row r="1018" spans="1:6" ht="17" x14ac:dyDescent="0.25">
      <c r="A1018" s="6">
        <v>10892</v>
      </c>
      <c r="B1018" t="s">
        <v>100</v>
      </c>
      <c r="C1018">
        <v>135</v>
      </c>
      <c r="D1018">
        <v>135</v>
      </c>
      <c r="E1018">
        <v>3</v>
      </c>
      <c r="F1018">
        <v>3</v>
      </c>
    </row>
    <row r="1019" spans="1:6" ht="17" x14ac:dyDescent="0.25">
      <c r="A1019" s="6">
        <v>10892</v>
      </c>
      <c r="B1019" t="s">
        <v>122</v>
      </c>
      <c r="C1019">
        <v>158</v>
      </c>
      <c r="D1019">
        <v>167</v>
      </c>
      <c r="E1019">
        <v>3</v>
      </c>
      <c r="F1019">
        <v>3</v>
      </c>
    </row>
    <row r="1020" spans="1:6" ht="17" x14ac:dyDescent="0.25">
      <c r="A1020" s="6">
        <v>10892</v>
      </c>
      <c r="B1020" t="s">
        <v>102</v>
      </c>
      <c r="C1020">
        <v>89</v>
      </c>
      <c r="D1020">
        <v>96</v>
      </c>
      <c r="E1020">
        <v>3</v>
      </c>
      <c r="F1020">
        <v>3</v>
      </c>
    </row>
    <row r="1021" spans="1:6" ht="17" x14ac:dyDescent="0.25">
      <c r="A1021" s="6">
        <v>10892</v>
      </c>
      <c r="B1021" t="s">
        <v>123</v>
      </c>
      <c r="C1021">
        <v>91</v>
      </c>
      <c r="D1021">
        <v>89</v>
      </c>
      <c r="E1021">
        <v>3</v>
      </c>
      <c r="F1021">
        <v>3</v>
      </c>
    </row>
    <row r="1022" spans="1:6" ht="17" x14ac:dyDescent="0.25">
      <c r="A1022" s="6">
        <v>10940</v>
      </c>
      <c r="B1022" t="s">
        <v>100</v>
      </c>
      <c r="C1022">
        <v>166</v>
      </c>
      <c r="D1022">
        <v>139</v>
      </c>
      <c r="E1022">
        <v>3</v>
      </c>
      <c r="F1022">
        <v>3</v>
      </c>
    </row>
    <row r="1023" spans="1:6" ht="17" x14ac:dyDescent="0.25">
      <c r="A1023" s="6">
        <v>10940</v>
      </c>
      <c r="B1023" t="s">
        <v>122</v>
      </c>
      <c r="C1023">
        <v>194</v>
      </c>
      <c r="D1023">
        <v>194</v>
      </c>
      <c r="E1023">
        <v>3</v>
      </c>
      <c r="F1023">
        <v>3</v>
      </c>
    </row>
    <row r="1024" spans="1:6" ht="17" x14ac:dyDescent="0.25">
      <c r="A1024" s="6">
        <v>10940</v>
      </c>
      <c r="B1024" t="s">
        <v>102</v>
      </c>
      <c r="C1024">
        <v>84</v>
      </c>
      <c r="D1024">
        <v>77</v>
      </c>
      <c r="E1024">
        <v>3</v>
      </c>
      <c r="F1024">
        <v>3</v>
      </c>
    </row>
    <row r="1025" spans="1:6" ht="17" x14ac:dyDescent="0.25">
      <c r="A1025" s="6">
        <v>10940</v>
      </c>
      <c r="B1025" t="s">
        <v>123</v>
      </c>
      <c r="C1025">
        <v>116</v>
      </c>
      <c r="D1025">
        <v>116</v>
      </c>
      <c r="E1025">
        <v>3</v>
      </c>
      <c r="F1025">
        <v>3</v>
      </c>
    </row>
    <row r="1026" spans="1:6" ht="17" x14ac:dyDescent="0.25">
      <c r="A1026" s="6">
        <v>10988</v>
      </c>
      <c r="B1026" t="s">
        <v>100</v>
      </c>
      <c r="C1026">
        <v>151</v>
      </c>
      <c r="D1026">
        <v>125</v>
      </c>
      <c r="E1026">
        <v>3</v>
      </c>
      <c r="F1026">
        <v>3</v>
      </c>
    </row>
    <row r="1027" spans="1:6" ht="17" x14ac:dyDescent="0.25">
      <c r="A1027" s="6">
        <v>10988</v>
      </c>
      <c r="B1027" t="s">
        <v>122</v>
      </c>
      <c r="C1027">
        <v>181</v>
      </c>
      <c r="D1027">
        <v>146</v>
      </c>
      <c r="E1027">
        <v>3</v>
      </c>
      <c r="F1027">
        <v>3</v>
      </c>
    </row>
    <row r="1028" spans="1:6" ht="17" x14ac:dyDescent="0.25">
      <c r="A1028" s="6">
        <v>10988</v>
      </c>
      <c r="B1028" t="s">
        <v>102</v>
      </c>
      <c r="C1028">
        <v>119</v>
      </c>
      <c r="D1028">
        <v>57</v>
      </c>
      <c r="E1028">
        <v>3</v>
      </c>
      <c r="F1028">
        <v>3</v>
      </c>
    </row>
    <row r="1029" spans="1:6" ht="17" x14ac:dyDescent="0.25">
      <c r="A1029" s="6">
        <v>10988</v>
      </c>
      <c r="B1029" t="s">
        <v>123</v>
      </c>
      <c r="C1029">
        <v>131</v>
      </c>
      <c r="D1029">
        <v>81</v>
      </c>
      <c r="E1029">
        <v>3</v>
      </c>
      <c r="F1029">
        <v>3</v>
      </c>
    </row>
    <row r="1030" spans="1:6" ht="17" x14ac:dyDescent="0.25">
      <c r="A1030" s="6">
        <v>11036</v>
      </c>
      <c r="B1030" t="s">
        <v>100</v>
      </c>
      <c r="C1030">
        <v>154</v>
      </c>
      <c r="D1030">
        <v>155</v>
      </c>
      <c r="E1030">
        <v>3</v>
      </c>
      <c r="F1030">
        <v>3</v>
      </c>
    </row>
    <row r="1031" spans="1:6" ht="17" x14ac:dyDescent="0.25">
      <c r="A1031" s="6">
        <v>11036</v>
      </c>
      <c r="B1031" t="s">
        <v>122</v>
      </c>
      <c r="C1031">
        <v>193</v>
      </c>
      <c r="D1031">
        <v>184</v>
      </c>
      <c r="E1031">
        <v>3</v>
      </c>
      <c r="F1031">
        <v>3</v>
      </c>
    </row>
    <row r="1032" spans="1:6" ht="17" x14ac:dyDescent="0.25">
      <c r="A1032" s="6">
        <v>11036</v>
      </c>
      <c r="B1032" t="s">
        <v>102</v>
      </c>
      <c r="C1032">
        <v>112</v>
      </c>
      <c r="D1032">
        <v>102</v>
      </c>
      <c r="E1032">
        <v>3</v>
      </c>
      <c r="F1032">
        <v>3</v>
      </c>
    </row>
    <row r="1033" spans="1:6" ht="17" x14ac:dyDescent="0.25">
      <c r="A1033" s="6">
        <v>11036</v>
      </c>
      <c r="B1033" t="s">
        <v>123</v>
      </c>
      <c r="C1033">
        <v>122</v>
      </c>
      <c r="D1033">
        <v>124</v>
      </c>
      <c r="E1033">
        <v>3</v>
      </c>
      <c r="F1033">
        <v>3</v>
      </c>
    </row>
    <row r="1034" spans="1:6" ht="17" x14ac:dyDescent="0.25">
      <c r="A1034" s="6">
        <v>11084</v>
      </c>
      <c r="B1034" t="s">
        <v>100</v>
      </c>
      <c r="C1034">
        <v>189</v>
      </c>
      <c r="D1034">
        <v>165</v>
      </c>
      <c r="E1034">
        <v>3</v>
      </c>
      <c r="F1034">
        <v>3</v>
      </c>
    </row>
    <row r="1035" spans="1:6" ht="17" x14ac:dyDescent="0.25">
      <c r="A1035" s="6">
        <v>11084</v>
      </c>
      <c r="B1035" t="s">
        <v>122</v>
      </c>
      <c r="C1035">
        <v>215</v>
      </c>
      <c r="D1035">
        <v>172</v>
      </c>
      <c r="E1035">
        <v>3</v>
      </c>
      <c r="F1035">
        <v>3</v>
      </c>
    </row>
    <row r="1036" spans="1:6" ht="17" x14ac:dyDescent="0.25">
      <c r="A1036" s="6">
        <v>11084</v>
      </c>
      <c r="B1036" t="s">
        <v>102</v>
      </c>
      <c r="C1036">
        <v>120</v>
      </c>
      <c r="D1036">
        <v>104</v>
      </c>
      <c r="E1036">
        <v>3</v>
      </c>
      <c r="F1036">
        <v>3</v>
      </c>
    </row>
    <row r="1037" spans="1:6" ht="17" x14ac:dyDescent="0.25">
      <c r="A1037" s="6">
        <v>11084</v>
      </c>
      <c r="B1037" t="s">
        <v>123</v>
      </c>
      <c r="C1037">
        <v>112</v>
      </c>
      <c r="D1037">
        <v>101</v>
      </c>
      <c r="E1037">
        <v>3</v>
      </c>
      <c r="F1037">
        <v>3</v>
      </c>
    </row>
    <row r="1038" spans="1:6" ht="17" x14ac:dyDescent="0.25">
      <c r="A1038" s="6">
        <v>11132</v>
      </c>
      <c r="B1038" t="s">
        <v>100</v>
      </c>
      <c r="C1038">
        <v>187</v>
      </c>
      <c r="D1038">
        <v>166</v>
      </c>
      <c r="E1038">
        <v>3</v>
      </c>
      <c r="F1038">
        <v>3</v>
      </c>
    </row>
    <row r="1039" spans="1:6" ht="17" x14ac:dyDescent="0.25">
      <c r="A1039" s="6">
        <v>11132</v>
      </c>
      <c r="B1039" t="s">
        <v>122</v>
      </c>
      <c r="C1039">
        <v>245</v>
      </c>
      <c r="D1039">
        <v>205</v>
      </c>
      <c r="E1039">
        <v>3</v>
      </c>
      <c r="F1039">
        <v>3</v>
      </c>
    </row>
    <row r="1040" spans="1:6" ht="17" x14ac:dyDescent="0.25">
      <c r="A1040" s="6">
        <v>11132</v>
      </c>
      <c r="B1040" t="s">
        <v>102</v>
      </c>
      <c r="C1040">
        <v>105</v>
      </c>
      <c r="D1040">
        <v>89</v>
      </c>
      <c r="E1040">
        <v>3</v>
      </c>
      <c r="F1040">
        <v>3</v>
      </c>
    </row>
    <row r="1041" spans="1:6" ht="17" x14ac:dyDescent="0.25">
      <c r="A1041" s="6">
        <v>11132</v>
      </c>
      <c r="B1041" t="s">
        <v>123</v>
      </c>
      <c r="C1041">
        <v>112</v>
      </c>
      <c r="D1041">
        <v>102</v>
      </c>
      <c r="E1041">
        <v>3</v>
      </c>
      <c r="F1041">
        <v>3</v>
      </c>
    </row>
    <row r="1042" spans="1:6" ht="17" x14ac:dyDescent="0.25">
      <c r="A1042" s="6">
        <v>11180</v>
      </c>
      <c r="B1042" t="s">
        <v>100</v>
      </c>
      <c r="C1042">
        <v>179</v>
      </c>
      <c r="D1042">
        <v>131</v>
      </c>
      <c r="E1042">
        <v>3</v>
      </c>
      <c r="F1042">
        <v>3</v>
      </c>
    </row>
    <row r="1043" spans="1:6" ht="17" x14ac:dyDescent="0.25">
      <c r="A1043" s="6">
        <v>11180</v>
      </c>
      <c r="B1043" t="s">
        <v>122</v>
      </c>
      <c r="C1043">
        <v>206</v>
      </c>
      <c r="D1043">
        <v>161</v>
      </c>
      <c r="E1043">
        <v>3</v>
      </c>
      <c r="F1043">
        <v>3</v>
      </c>
    </row>
    <row r="1044" spans="1:6" ht="17" x14ac:dyDescent="0.25">
      <c r="A1044" s="6">
        <v>11180</v>
      </c>
      <c r="B1044" t="s">
        <v>102</v>
      </c>
      <c r="C1044">
        <v>97</v>
      </c>
      <c r="D1044">
        <v>76</v>
      </c>
      <c r="E1044">
        <v>3</v>
      </c>
      <c r="F1044">
        <v>3</v>
      </c>
    </row>
    <row r="1045" spans="1:6" ht="17" x14ac:dyDescent="0.25">
      <c r="A1045" s="6">
        <v>11180</v>
      </c>
      <c r="B1045" t="s">
        <v>123</v>
      </c>
      <c r="C1045">
        <v>129</v>
      </c>
      <c r="D1045">
        <v>101</v>
      </c>
      <c r="E1045">
        <v>3</v>
      </c>
      <c r="F1045">
        <v>3</v>
      </c>
    </row>
    <row r="1046" spans="1:6" ht="17" x14ac:dyDescent="0.25">
      <c r="A1046" s="6">
        <v>11228</v>
      </c>
      <c r="B1046" t="s">
        <v>100</v>
      </c>
      <c r="C1046">
        <v>153</v>
      </c>
      <c r="D1046">
        <v>133</v>
      </c>
      <c r="E1046">
        <v>3</v>
      </c>
      <c r="F1046">
        <v>3</v>
      </c>
    </row>
    <row r="1047" spans="1:6" ht="17" x14ac:dyDescent="0.25">
      <c r="A1047" s="6">
        <v>11228</v>
      </c>
      <c r="B1047" t="s">
        <v>122</v>
      </c>
      <c r="C1047">
        <v>191</v>
      </c>
      <c r="D1047">
        <v>175</v>
      </c>
      <c r="E1047">
        <v>3</v>
      </c>
      <c r="F1047">
        <v>3</v>
      </c>
    </row>
    <row r="1048" spans="1:6" ht="17" x14ac:dyDescent="0.25">
      <c r="A1048" s="6">
        <v>11228</v>
      </c>
      <c r="B1048" t="s">
        <v>102</v>
      </c>
      <c r="C1048">
        <v>108</v>
      </c>
      <c r="D1048">
        <v>102</v>
      </c>
      <c r="E1048">
        <v>3</v>
      </c>
      <c r="F1048">
        <v>3</v>
      </c>
    </row>
    <row r="1049" spans="1:6" ht="17" x14ac:dyDescent="0.25">
      <c r="A1049" s="6">
        <v>11228</v>
      </c>
      <c r="B1049" t="s">
        <v>123</v>
      </c>
      <c r="C1049">
        <v>111</v>
      </c>
      <c r="D1049">
        <v>99</v>
      </c>
      <c r="E1049">
        <v>3</v>
      </c>
      <c r="F1049">
        <v>3</v>
      </c>
    </row>
    <row r="1050" spans="1:6" ht="17" x14ac:dyDescent="0.25">
      <c r="A1050" s="6">
        <v>11276</v>
      </c>
      <c r="B1050" t="s">
        <v>100</v>
      </c>
      <c r="C1050">
        <v>138</v>
      </c>
      <c r="D1050">
        <v>102</v>
      </c>
      <c r="E1050">
        <v>3</v>
      </c>
      <c r="F1050">
        <v>3</v>
      </c>
    </row>
    <row r="1051" spans="1:6" ht="17" x14ac:dyDescent="0.25">
      <c r="A1051" s="6">
        <v>11276</v>
      </c>
      <c r="B1051" t="s">
        <v>122</v>
      </c>
      <c r="C1051">
        <v>172</v>
      </c>
      <c r="D1051">
        <v>147</v>
      </c>
      <c r="E1051">
        <v>3</v>
      </c>
      <c r="F1051">
        <v>3</v>
      </c>
    </row>
    <row r="1052" spans="1:6" ht="17" x14ac:dyDescent="0.25">
      <c r="A1052" s="6">
        <v>11276</v>
      </c>
      <c r="B1052" t="s">
        <v>102</v>
      </c>
      <c r="C1052">
        <v>92</v>
      </c>
      <c r="D1052">
        <v>73</v>
      </c>
      <c r="E1052">
        <v>3</v>
      </c>
      <c r="F1052">
        <v>3</v>
      </c>
    </row>
    <row r="1053" spans="1:6" ht="17" x14ac:dyDescent="0.25">
      <c r="A1053" s="6">
        <v>11276</v>
      </c>
      <c r="B1053" t="s">
        <v>123</v>
      </c>
      <c r="C1053">
        <v>115</v>
      </c>
      <c r="D1053">
        <v>98</v>
      </c>
      <c r="E1053">
        <v>3</v>
      </c>
      <c r="F1053">
        <v>3</v>
      </c>
    </row>
    <row r="1054" spans="1:6" ht="17" x14ac:dyDescent="0.25">
      <c r="A1054" s="6">
        <v>11324</v>
      </c>
      <c r="B1054" t="s">
        <v>100</v>
      </c>
      <c r="C1054">
        <v>178</v>
      </c>
      <c r="D1054">
        <v>107</v>
      </c>
      <c r="E1054">
        <v>3</v>
      </c>
      <c r="F1054">
        <v>3</v>
      </c>
    </row>
    <row r="1055" spans="1:6" ht="17" x14ac:dyDescent="0.25">
      <c r="A1055" s="6">
        <v>11324</v>
      </c>
      <c r="B1055" t="s">
        <v>122</v>
      </c>
      <c r="C1055">
        <v>232</v>
      </c>
      <c r="D1055">
        <v>136</v>
      </c>
      <c r="E1055">
        <v>3</v>
      </c>
      <c r="F1055">
        <v>3</v>
      </c>
    </row>
    <row r="1056" spans="1:6" ht="17" x14ac:dyDescent="0.25">
      <c r="A1056" s="6">
        <v>11324</v>
      </c>
      <c r="B1056" t="s">
        <v>102</v>
      </c>
      <c r="C1056">
        <v>121</v>
      </c>
      <c r="D1056">
        <v>58</v>
      </c>
      <c r="E1056">
        <v>3</v>
      </c>
      <c r="F1056">
        <v>3</v>
      </c>
    </row>
    <row r="1057" spans="1:6" ht="17" x14ac:dyDescent="0.25">
      <c r="A1057" s="6">
        <v>11324</v>
      </c>
      <c r="B1057" t="s">
        <v>123</v>
      </c>
      <c r="C1057">
        <v>99</v>
      </c>
      <c r="D1057">
        <v>88</v>
      </c>
      <c r="E1057">
        <v>3</v>
      </c>
      <c r="F1057">
        <v>3</v>
      </c>
    </row>
    <row r="1058" spans="1:6" ht="17" x14ac:dyDescent="0.25">
      <c r="A1058" s="6">
        <v>11372</v>
      </c>
      <c r="B1058" t="s">
        <v>100</v>
      </c>
      <c r="C1058">
        <v>172</v>
      </c>
      <c r="D1058">
        <v>118</v>
      </c>
      <c r="E1058">
        <v>3</v>
      </c>
      <c r="F1058">
        <v>3</v>
      </c>
    </row>
    <row r="1059" spans="1:6" ht="17" x14ac:dyDescent="0.25">
      <c r="A1059" s="6">
        <v>11372</v>
      </c>
      <c r="B1059" t="s">
        <v>122</v>
      </c>
      <c r="C1059">
        <v>208</v>
      </c>
      <c r="D1059">
        <v>153</v>
      </c>
      <c r="E1059">
        <v>3</v>
      </c>
      <c r="F1059">
        <v>3</v>
      </c>
    </row>
    <row r="1060" spans="1:6" ht="17" x14ac:dyDescent="0.25">
      <c r="A1060" s="6">
        <v>11372</v>
      </c>
      <c r="B1060" t="s">
        <v>102</v>
      </c>
      <c r="C1060">
        <v>111</v>
      </c>
      <c r="D1060">
        <v>99</v>
      </c>
      <c r="E1060">
        <v>3</v>
      </c>
      <c r="F1060">
        <v>3</v>
      </c>
    </row>
    <row r="1061" spans="1:6" ht="17" x14ac:dyDescent="0.25">
      <c r="A1061" s="6">
        <v>11372</v>
      </c>
      <c r="B1061" t="s">
        <v>123</v>
      </c>
      <c r="C1061">
        <v>133</v>
      </c>
      <c r="D1061">
        <v>110</v>
      </c>
      <c r="E1061">
        <v>3</v>
      </c>
      <c r="F1061">
        <v>3</v>
      </c>
    </row>
    <row r="1062" spans="1:6" ht="17" x14ac:dyDescent="0.25">
      <c r="A1062" s="6">
        <v>11420</v>
      </c>
      <c r="B1062" t="s">
        <v>100</v>
      </c>
      <c r="C1062">
        <v>175</v>
      </c>
      <c r="D1062">
        <v>138</v>
      </c>
      <c r="E1062">
        <v>3</v>
      </c>
      <c r="F1062">
        <v>3</v>
      </c>
    </row>
    <row r="1063" spans="1:6" ht="17" x14ac:dyDescent="0.25">
      <c r="A1063" s="6">
        <v>11420</v>
      </c>
      <c r="B1063" t="s">
        <v>122</v>
      </c>
      <c r="C1063">
        <v>186</v>
      </c>
      <c r="D1063">
        <v>187</v>
      </c>
      <c r="E1063">
        <v>3</v>
      </c>
      <c r="F1063">
        <v>3</v>
      </c>
    </row>
    <row r="1064" spans="1:6" ht="17" x14ac:dyDescent="0.25">
      <c r="A1064" s="6">
        <v>11420</v>
      </c>
      <c r="B1064" t="s">
        <v>102</v>
      </c>
      <c r="C1064">
        <v>99</v>
      </c>
      <c r="D1064">
        <v>78</v>
      </c>
      <c r="E1064">
        <v>3</v>
      </c>
      <c r="F1064">
        <v>3</v>
      </c>
    </row>
    <row r="1065" spans="1:6" ht="17" x14ac:dyDescent="0.25">
      <c r="A1065" s="6">
        <v>11420</v>
      </c>
      <c r="B1065" t="s">
        <v>123</v>
      </c>
      <c r="C1065">
        <v>94</v>
      </c>
      <c r="D1065">
        <v>118</v>
      </c>
      <c r="E1065">
        <v>3</v>
      </c>
      <c r="F1065">
        <v>3</v>
      </c>
    </row>
    <row r="1066" spans="1:6" ht="17" x14ac:dyDescent="0.25">
      <c r="A1066" s="6">
        <v>11468</v>
      </c>
      <c r="B1066" t="s">
        <v>100</v>
      </c>
      <c r="C1066">
        <v>157</v>
      </c>
      <c r="D1066">
        <v>142</v>
      </c>
      <c r="E1066">
        <v>3</v>
      </c>
      <c r="F1066">
        <v>3</v>
      </c>
    </row>
    <row r="1067" spans="1:6" ht="17" x14ac:dyDescent="0.25">
      <c r="A1067" s="6">
        <v>11468</v>
      </c>
      <c r="B1067" t="s">
        <v>122</v>
      </c>
      <c r="C1067">
        <v>228</v>
      </c>
      <c r="D1067">
        <v>169</v>
      </c>
      <c r="E1067">
        <v>3</v>
      </c>
      <c r="F1067">
        <v>3</v>
      </c>
    </row>
    <row r="1068" spans="1:6" ht="17" x14ac:dyDescent="0.25">
      <c r="A1068" s="6">
        <v>11468</v>
      </c>
      <c r="B1068" t="s">
        <v>102</v>
      </c>
      <c r="C1068">
        <v>106</v>
      </c>
      <c r="D1068">
        <v>82</v>
      </c>
      <c r="E1068">
        <v>3</v>
      </c>
      <c r="F1068">
        <v>3</v>
      </c>
    </row>
    <row r="1069" spans="1:6" ht="17" x14ac:dyDescent="0.25">
      <c r="A1069" s="6">
        <v>11468</v>
      </c>
      <c r="B1069" t="s">
        <v>123</v>
      </c>
      <c r="C1069">
        <v>112</v>
      </c>
      <c r="D1069">
        <v>98</v>
      </c>
      <c r="E1069">
        <v>3</v>
      </c>
      <c r="F1069">
        <v>3</v>
      </c>
    </row>
    <row r="1070" spans="1:6" ht="17" x14ac:dyDescent="0.25">
      <c r="A1070" s="6">
        <v>11516</v>
      </c>
      <c r="B1070" t="s">
        <v>100</v>
      </c>
      <c r="C1070">
        <v>178</v>
      </c>
      <c r="D1070">
        <v>145</v>
      </c>
      <c r="E1070">
        <v>3</v>
      </c>
      <c r="F1070">
        <v>3</v>
      </c>
    </row>
    <row r="1071" spans="1:6" ht="17" x14ac:dyDescent="0.25">
      <c r="A1071" s="6">
        <v>11516</v>
      </c>
      <c r="B1071" t="s">
        <v>122</v>
      </c>
      <c r="C1071">
        <v>181</v>
      </c>
      <c r="D1071">
        <v>199</v>
      </c>
      <c r="E1071">
        <v>3</v>
      </c>
      <c r="F1071">
        <v>3</v>
      </c>
    </row>
    <row r="1072" spans="1:6" ht="17" x14ac:dyDescent="0.25">
      <c r="A1072" s="6">
        <v>11516</v>
      </c>
      <c r="B1072" t="s">
        <v>102</v>
      </c>
      <c r="C1072">
        <v>107</v>
      </c>
      <c r="D1072">
        <v>78</v>
      </c>
      <c r="E1072">
        <v>3</v>
      </c>
      <c r="F1072">
        <v>3</v>
      </c>
    </row>
    <row r="1073" spans="1:6" ht="17" x14ac:dyDescent="0.25">
      <c r="A1073" s="6">
        <v>11516</v>
      </c>
      <c r="B1073" t="s">
        <v>123</v>
      </c>
      <c r="C1073">
        <v>100</v>
      </c>
      <c r="D1073">
        <v>103</v>
      </c>
      <c r="E1073">
        <v>3</v>
      </c>
      <c r="F1073">
        <v>3</v>
      </c>
    </row>
    <row r="1074" spans="1:6" ht="17" x14ac:dyDescent="0.25">
      <c r="A1074" s="6">
        <v>11564</v>
      </c>
      <c r="B1074" t="s">
        <v>100</v>
      </c>
      <c r="C1074">
        <v>109</v>
      </c>
      <c r="D1074">
        <v>92</v>
      </c>
      <c r="E1074">
        <v>3</v>
      </c>
      <c r="F1074">
        <v>3</v>
      </c>
    </row>
    <row r="1075" spans="1:6" ht="17" x14ac:dyDescent="0.25">
      <c r="A1075" s="6">
        <v>11564</v>
      </c>
      <c r="B1075" t="s">
        <v>122</v>
      </c>
      <c r="C1075">
        <v>131</v>
      </c>
      <c r="D1075">
        <v>87</v>
      </c>
      <c r="E1075">
        <v>3</v>
      </c>
      <c r="F1075">
        <v>3</v>
      </c>
    </row>
    <row r="1076" spans="1:6" ht="17" x14ac:dyDescent="0.25">
      <c r="A1076" s="6">
        <v>11564</v>
      </c>
      <c r="B1076" t="s">
        <v>102</v>
      </c>
      <c r="C1076">
        <v>102</v>
      </c>
      <c r="D1076">
        <v>122</v>
      </c>
      <c r="E1076">
        <v>3</v>
      </c>
      <c r="F1076">
        <v>3</v>
      </c>
    </row>
    <row r="1077" spans="1:6" ht="17" x14ac:dyDescent="0.25">
      <c r="A1077" s="6">
        <v>11564</v>
      </c>
      <c r="B1077" t="s">
        <v>123</v>
      </c>
      <c r="C1077">
        <v>136</v>
      </c>
      <c r="D1077">
        <v>94</v>
      </c>
      <c r="E1077">
        <v>3</v>
      </c>
      <c r="F1077">
        <v>3</v>
      </c>
    </row>
    <row r="1078" spans="1:6" ht="17" x14ac:dyDescent="0.25">
      <c r="A1078" s="6">
        <v>11612</v>
      </c>
      <c r="B1078" t="s">
        <v>100</v>
      </c>
      <c r="C1078">
        <v>112</v>
      </c>
      <c r="D1078">
        <v>103</v>
      </c>
      <c r="E1078">
        <v>3</v>
      </c>
      <c r="F1078">
        <v>3</v>
      </c>
    </row>
    <row r="1079" spans="1:6" ht="17" x14ac:dyDescent="0.25">
      <c r="A1079" s="6">
        <v>11612</v>
      </c>
      <c r="B1079" t="s">
        <v>122</v>
      </c>
      <c r="C1079">
        <v>155</v>
      </c>
      <c r="D1079">
        <v>106</v>
      </c>
      <c r="E1079">
        <v>3</v>
      </c>
      <c r="F1079">
        <v>3</v>
      </c>
    </row>
    <row r="1080" spans="1:6" ht="17" x14ac:dyDescent="0.25">
      <c r="A1080" s="6">
        <v>11612</v>
      </c>
      <c r="B1080" t="s">
        <v>102</v>
      </c>
      <c r="C1080">
        <v>125</v>
      </c>
      <c r="D1080">
        <v>130</v>
      </c>
      <c r="E1080">
        <v>3</v>
      </c>
      <c r="F1080">
        <v>3</v>
      </c>
    </row>
    <row r="1081" spans="1:6" ht="17" x14ac:dyDescent="0.25">
      <c r="A1081" s="6">
        <v>11612</v>
      </c>
      <c r="B1081" t="s">
        <v>123</v>
      </c>
      <c r="C1081">
        <v>146</v>
      </c>
      <c r="D1081">
        <v>133</v>
      </c>
      <c r="E1081">
        <v>3</v>
      </c>
      <c r="F1081">
        <v>3</v>
      </c>
    </row>
    <row r="1082" spans="1:6" ht="17" x14ac:dyDescent="0.25">
      <c r="A1082" s="6">
        <v>11660</v>
      </c>
      <c r="B1082" t="s">
        <v>100</v>
      </c>
      <c r="C1082">
        <v>161</v>
      </c>
      <c r="D1082">
        <v>79</v>
      </c>
      <c r="E1082">
        <v>3</v>
      </c>
      <c r="F1082">
        <v>3</v>
      </c>
    </row>
    <row r="1083" spans="1:6" ht="17" x14ac:dyDescent="0.25">
      <c r="A1083" s="6">
        <v>11660</v>
      </c>
      <c r="B1083" t="s">
        <v>122</v>
      </c>
      <c r="C1083">
        <v>127</v>
      </c>
      <c r="D1083">
        <v>105</v>
      </c>
      <c r="E1083">
        <v>3</v>
      </c>
      <c r="F1083">
        <v>3</v>
      </c>
    </row>
    <row r="1084" spans="1:6" ht="17" x14ac:dyDescent="0.25">
      <c r="A1084" s="6">
        <v>11660</v>
      </c>
      <c r="B1084" t="s">
        <v>102</v>
      </c>
      <c r="C1084">
        <v>142</v>
      </c>
      <c r="D1084">
        <v>117</v>
      </c>
      <c r="E1084">
        <v>3</v>
      </c>
      <c r="F1084">
        <v>3</v>
      </c>
    </row>
    <row r="1085" spans="1:6" ht="17" x14ac:dyDescent="0.25">
      <c r="A1085" s="6">
        <v>11660</v>
      </c>
      <c r="B1085" t="s">
        <v>123</v>
      </c>
      <c r="C1085">
        <v>137</v>
      </c>
      <c r="D1085">
        <v>108</v>
      </c>
      <c r="E1085">
        <v>3</v>
      </c>
      <c r="F1085">
        <v>3</v>
      </c>
    </row>
    <row r="1086" spans="1:6" ht="17" x14ac:dyDescent="0.25">
      <c r="A1086" s="6">
        <v>11708</v>
      </c>
      <c r="B1086" t="s">
        <v>100</v>
      </c>
      <c r="C1086">
        <v>152</v>
      </c>
      <c r="D1086">
        <v>88</v>
      </c>
      <c r="E1086">
        <v>3</v>
      </c>
      <c r="F1086">
        <v>3</v>
      </c>
    </row>
    <row r="1087" spans="1:6" ht="17" x14ac:dyDescent="0.25">
      <c r="A1087" s="6">
        <v>11708</v>
      </c>
      <c r="B1087" t="s">
        <v>122</v>
      </c>
      <c r="C1087">
        <v>158</v>
      </c>
      <c r="D1087">
        <v>108</v>
      </c>
      <c r="E1087">
        <v>3</v>
      </c>
      <c r="F1087">
        <v>3</v>
      </c>
    </row>
    <row r="1088" spans="1:6" ht="17" x14ac:dyDescent="0.25">
      <c r="A1088" s="6">
        <v>11708</v>
      </c>
      <c r="B1088" t="s">
        <v>102</v>
      </c>
      <c r="C1088">
        <v>147</v>
      </c>
      <c r="D1088">
        <v>117</v>
      </c>
      <c r="E1088">
        <v>3</v>
      </c>
      <c r="F1088">
        <v>3</v>
      </c>
    </row>
    <row r="1089" spans="1:6" ht="17" x14ac:dyDescent="0.25">
      <c r="A1089" s="6">
        <v>11708</v>
      </c>
      <c r="B1089" t="s">
        <v>123</v>
      </c>
      <c r="C1089">
        <v>153</v>
      </c>
      <c r="D1089">
        <v>98</v>
      </c>
      <c r="E1089">
        <v>3</v>
      </c>
      <c r="F1089">
        <v>3</v>
      </c>
    </row>
    <row r="1090" spans="1:6" ht="17" x14ac:dyDescent="0.25">
      <c r="A1090" s="6">
        <v>11756</v>
      </c>
      <c r="B1090" t="s">
        <v>100</v>
      </c>
      <c r="C1090">
        <v>151</v>
      </c>
      <c r="D1090">
        <v>121</v>
      </c>
      <c r="E1090">
        <v>3</v>
      </c>
      <c r="F1090">
        <v>3</v>
      </c>
    </row>
    <row r="1091" spans="1:6" ht="17" x14ac:dyDescent="0.25">
      <c r="A1091" s="6">
        <v>11756</v>
      </c>
      <c r="B1091" t="s">
        <v>122</v>
      </c>
      <c r="C1091">
        <v>168</v>
      </c>
      <c r="D1091">
        <v>90</v>
      </c>
      <c r="E1091">
        <v>3</v>
      </c>
      <c r="F1091">
        <v>3</v>
      </c>
    </row>
    <row r="1092" spans="1:6" ht="17" x14ac:dyDescent="0.25">
      <c r="A1092" s="6">
        <v>11756</v>
      </c>
      <c r="B1092" t="s">
        <v>102</v>
      </c>
      <c r="C1092">
        <v>118</v>
      </c>
      <c r="D1092">
        <v>102</v>
      </c>
      <c r="E1092">
        <v>3</v>
      </c>
      <c r="F1092">
        <v>3</v>
      </c>
    </row>
    <row r="1093" spans="1:6" ht="17" x14ac:dyDescent="0.25">
      <c r="A1093" s="6">
        <v>11756</v>
      </c>
      <c r="B1093" t="s">
        <v>123</v>
      </c>
      <c r="C1093">
        <v>172</v>
      </c>
      <c r="D1093">
        <v>87</v>
      </c>
      <c r="E1093">
        <v>3</v>
      </c>
      <c r="F1093">
        <v>3</v>
      </c>
    </row>
    <row r="1094" spans="1:6" ht="17" x14ac:dyDescent="0.25">
      <c r="A1094" s="6">
        <v>11804</v>
      </c>
      <c r="B1094" t="s">
        <v>100</v>
      </c>
      <c r="C1094">
        <v>181</v>
      </c>
      <c r="D1094">
        <v>99</v>
      </c>
      <c r="E1094">
        <v>3</v>
      </c>
      <c r="F1094">
        <v>3</v>
      </c>
    </row>
    <row r="1095" spans="1:6" ht="17" x14ac:dyDescent="0.25">
      <c r="A1095" s="6">
        <v>11804</v>
      </c>
      <c r="B1095" t="s">
        <v>122</v>
      </c>
      <c r="C1095">
        <v>169</v>
      </c>
      <c r="D1095">
        <v>122</v>
      </c>
      <c r="E1095">
        <v>3</v>
      </c>
      <c r="F1095">
        <v>3</v>
      </c>
    </row>
    <row r="1096" spans="1:6" ht="17" x14ac:dyDescent="0.25">
      <c r="A1096" s="6">
        <v>11804</v>
      </c>
      <c r="B1096" t="s">
        <v>102</v>
      </c>
      <c r="C1096">
        <v>155</v>
      </c>
      <c r="D1096">
        <v>83</v>
      </c>
      <c r="E1096">
        <v>3</v>
      </c>
      <c r="F1096">
        <v>3</v>
      </c>
    </row>
    <row r="1097" spans="1:6" ht="17" x14ac:dyDescent="0.25">
      <c r="A1097" s="6">
        <v>11804</v>
      </c>
      <c r="B1097" t="s">
        <v>123</v>
      </c>
      <c r="C1097">
        <v>190</v>
      </c>
      <c r="D1097">
        <v>123</v>
      </c>
      <c r="E1097">
        <v>3</v>
      </c>
      <c r="F1097">
        <v>3</v>
      </c>
    </row>
    <row r="1098" spans="1:6" ht="17" x14ac:dyDescent="0.25">
      <c r="A1098" s="6">
        <v>11852</v>
      </c>
      <c r="B1098" t="s">
        <v>100</v>
      </c>
      <c r="C1098">
        <v>167</v>
      </c>
      <c r="D1098">
        <v>123</v>
      </c>
      <c r="E1098">
        <v>3</v>
      </c>
      <c r="F1098">
        <v>3</v>
      </c>
    </row>
    <row r="1099" spans="1:6" ht="17" x14ac:dyDescent="0.25">
      <c r="A1099" s="6">
        <v>11852</v>
      </c>
      <c r="B1099" t="s">
        <v>122</v>
      </c>
      <c r="C1099">
        <v>155</v>
      </c>
      <c r="D1099">
        <v>97</v>
      </c>
      <c r="E1099">
        <v>3</v>
      </c>
      <c r="F1099">
        <v>3</v>
      </c>
    </row>
    <row r="1100" spans="1:6" ht="17" x14ac:dyDescent="0.25">
      <c r="A1100" s="6">
        <v>11852</v>
      </c>
      <c r="B1100" t="s">
        <v>102</v>
      </c>
      <c r="C1100">
        <v>142</v>
      </c>
      <c r="D1100">
        <v>101</v>
      </c>
      <c r="E1100">
        <v>3</v>
      </c>
      <c r="F1100">
        <v>3</v>
      </c>
    </row>
    <row r="1101" spans="1:6" ht="17" x14ac:dyDescent="0.25">
      <c r="A1101" s="6">
        <v>11852</v>
      </c>
      <c r="B1101" t="s">
        <v>123</v>
      </c>
      <c r="C1101">
        <v>154</v>
      </c>
      <c r="D1101">
        <v>117</v>
      </c>
      <c r="E1101">
        <v>3</v>
      </c>
      <c r="F1101">
        <v>3</v>
      </c>
    </row>
    <row r="1102" spans="1:6" ht="17" x14ac:dyDescent="0.25">
      <c r="A1102" s="6">
        <v>11900</v>
      </c>
      <c r="B1102" t="s">
        <v>100</v>
      </c>
      <c r="C1102">
        <v>159</v>
      </c>
      <c r="D1102">
        <v>117</v>
      </c>
      <c r="E1102">
        <v>3</v>
      </c>
      <c r="F1102">
        <v>3</v>
      </c>
    </row>
    <row r="1103" spans="1:6" ht="17" x14ac:dyDescent="0.25">
      <c r="A1103" s="6">
        <v>11900</v>
      </c>
      <c r="B1103" t="s">
        <v>122</v>
      </c>
      <c r="C1103">
        <v>136</v>
      </c>
      <c r="D1103">
        <v>103</v>
      </c>
      <c r="E1103">
        <v>3</v>
      </c>
      <c r="F1103">
        <v>3</v>
      </c>
    </row>
    <row r="1104" spans="1:6" ht="17" x14ac:dyDescent="0.25">
      <c r="A1104" s="6">
        <v>11900</v>
      </c>
      <c r="B1104" t="s">
        <v>102</v>
      </c>
      <c r="C1104">
        <v>126</v>
      </c>
      <c r="D1104">
        <v>104</v>
      </c>
      <c r="E1104">
        <v>3</v>
      </c>
      <c r="F1104">
        <v>3</v>
      </c>
    </row>
    <row r="1105" spans="1:6" ht="17" x14ac:dyDescent="0.25">
      <c r="A1105" s="6">
        <v>11900</v>
      </c>
      <c r="B1105" t="s">
        <v>123</v>
      </c>
      <c r="C1105">
        <v>153</v>
      </c>
      <c r="D1105">
        <v>102</v>
      </c>
      <c r="E1105">
        <v>3</v>
      </c>
      <c r="F1105">
        <v>3</v>
      </c>
    </row>
    <row r="1106" spans="1:6" ht="17" x14ac:dyDescent="0.25">
      <c r="A1106" s="6">
        <v>11948</v>
      </c>
      <c r="B1106" t="s">
        <v>100</v>
      </c>
      <c r="C1106">
        <v>149</v>
      </c>
      <c r="D1106">
        <v>117</v>
      </c>
      <c r="E1106">
        <v>3</v>
      </c>
      <c r="F1106">
        <v>3</v>
      </c>
    </row>
    <row r="1107" spans="1:6" ht="17" x14ac:dyDescent="0.25">
      <c r="A1107" s="6">
        <v>11948</v>
      </c>
      <c r="B1107" t="s">
        <v>122</v>
      </c>
      <c r="C1107">
        <v>132</v>
      </c>
      <c r="D1107">
        <v>113</v>
      </c>
      <c r="E1107">
        <v>3</v>
      </c>
      <c r="F1107">
        <v>3</v>
      </c>
    </row>
    <row r="1108" spans="1:6" ht="17" x14ac:dyDescent="0.25">
      <c r="A1108" s="6">
        <v>11948</v>
      </c>
      <c r="B1108" t="s">
        <v>102</v>
      </c>
      <c r="C1108">
        <v>139</v>
      </c>
      <c r="D1108">
        <v>114</v>
      </c>
      <c r="E1108">
        <v>3</v>
      </c>
      <c r="F1108">
        <v>3</v>
      </c>
    </row>
    <row r="1109" spans="1:6" ht="17" x14ac:dyDescent="0.25">
      <c r="A1109" s="6">
        <v>11948</v>
      </c>
      <c r="B1109" t="s">
        <v>123</v>
      </c>
      <c r="C1109">
        <v>135</v>
      </c>
      <c r="D1109">
        <v>89</v>
      </c>
      <c r="E1109">
        <v>3</v>
      </c>
      <c r="F1109">
        <v>3</v>
      </c>
    </row>
    <row r="1110" spans="1:6" ht="17" x14ac:dyDescent="0.25">
      <c r="A1110" s="6">
        <v>11996</v>
      </c>
      <c r="B1110" t="s">
        <v>100</v>
      </c>
      <c r="C1110">
        <v>140</v>
      </c>
      <c r="D1110">
        <v>110</v>
      </c>
      <c r="E1110">
        <v>3</v>
      </c>
      <c r="F1110">
        <v>3</v>
      </c>
    </row>
    <row r="1111" spans="1:6" ht="17" x14ac:dyDescent="0.25">
      <c r="A1111" s="6">
        <v>11996</v>
      </c>
      <c r="B1111" t="s">
        <v>122</v>
      </c>
      <c r="C1111">
        <v>158</v>
      </c>
      <c r="D1111">
        <v>100</v>
      </c>
      <c r="E1111">
        <v>3</v>
      </c>
      <c r="F1111">
        <v>3</v>
      </c>
    </row>
    <row r="1112" spans="1:6" ht="17" x14ac:dyDescent="0.25">
      <c r="A1112" s="6">
        <v>11996</v>
      </c>
      <c r="B1112" t="s">
        <v>102</v>
      </c>
      <c r="C1112">
        <v>137</v>
      </c>
      <c r="D1112">
        <v>99</v>
      </c>
      <c r="E1112">
        <v>3</v>
      </c>
      <c r="F1112">
        <v>3</v>
      </c>
    </row>
    <row r="1113" spans="1:6" ht="17" x14ac:dyDescent="0.25">
      <c r="A1113" s="6">
        <v>11996</v>
      </c>
      <c r="B1113" t="s">
        <v>123</v>
      </c>
      <c r="C1113">
        <v>149</v>
      </c>
      <c r="D1113">
        <v>111</v>
      </c>
      <c r="E1113">
        <v>3</v>
      </c>
      <c r="F1113">
        <v>3</v>
      </c>
    </row>
    <row r="1114" spans="1:6" ht="17" x14ac:dyDescent="0.25">
      <c r="A1114" s="6">
        <v>12044</v>
      </c>
      <c r="B1114" t="s">
        <v>100</v>
      </c>
      <c r="C1114">
        <v>147</v>
      </c>
      <c r="D1114">
        <v>99</v>
      </c>
      <c r="E1114">
        <v>3</v>
      </c>
      <c r="F1114">
        <v>3</v>
      </c>
    </row>
    <row r="1115" spans="1:6" ht="17" x14ac:dyDescent="0.25">
      <c r="A1115" s="6">
        <v>12044</v>
      </c>
      <c r="B1115" t="s">
        <v>122</v>
      </c>
      <c r="C1115">
        <v>138</v>
      </c>
      <c r="D1115">
        <v>89</v>
      </c>
      <c r="E1115">
        <v>3</v>
      </c>
      <c r="F1115">
        <v>3</v>
      </c>
    </row>
    <row r="1116" spans="1:6" ht="17" x14ac:dyDescent="0.25">
      <c r="A1116" s="6">
        <v>12044</v>
      </c>
      <c r="B1116" t="s">
        <v>102</v>
      </c>
      <c r="C1116">
        <v>140</v>
      </c>
      <c r="D1116">
        <v>117</v>
      </c>
      <c r="E1116">
        <v>3</v>
      </c>
      <c r="F1116">
        <v>3</v>
      </c>
    </row>
    <row r="1117" spans="1:6" ht="17" x14ac:dyDescent="0.25">
      <c r="A1117" s="6">
        <v>12044</v>
      </c>
      <c r="B1117" t="s">
        <v>123</v>
      </c>
      <c r="C1117">
        <v>152</v>
      </c>
      <c r="D1117">
        <v>109</v>
      </c>
      <c r="E1117">
        <v>3</v>
      </c>
      <c r="F1117">
        <v>3</v>
      </c>
    </row>
    <row r="1118" spans="1:6" ht="17" x14ac:dyDescent="0.25">
      <c r="A1118" s="6">
        <v>12092</v>
      </c>
      <c r="B1118" t="s">
        <v>100</v>
      </c>
      <c r="C1118">
        <v>143</v>
      </c>
      <c r="D1118">
        <v>91</v>
      </c>
      <c r="E1118">
        <v>3</v>
      </c>
      <c r="F1118">
        <v>3</v>
      </c>
    </row>
    <row r="1119" spans="1:6" ht="17" x14ac:dyDescent="0.25">
      <c r="A1119" s="6">
        <v>12092</v>
      </c>
      <c r="B1119" t="s">
        <v>122</v>
      </c>
      <c r="C1119">
        <v>146</v>
      </c>
      <c r="D1119">
        <v>96</v>
      </c>
      <c r="E1119">
        <v>3</v>
      </c>
      <c r="F1119">
        <v>3</v>
      </c>
    </row>
    <row r="1120" spans="1:6" ht="17" x14ac:dyDescent="0.25">
      <c r="A1120" s="6">
        <v>12092</v>
      </c>
      <c r="B1120" t="s">
        <v>102</v>
      </c>
      <c r="C1120">
        <v>133</v>
      </c>
      <c r="D1120">
        <v>96</v>
      </c>
      <c r="E1120">
        <v>3</v>
      </c>
      <c r="F1120">
        <v>3</v>
      </c>
    </row>
    <row r="1121" spans="1:6" ht="17" x14ac:dyDescent="0.25">
      <c r="A1121" s="6">
        <v>12092</v>
      </c>
      <c r="B1121" t="s">
        <v>123</v>
      </c>
      <c r="C1121">
        <v>127</v>
      </c>
      <c r="D1121">
        <v>109</v>
      </c>
      <c r="E1121">
        <v>3</v>
      </c>
      <c r="F1121">
        <v>3</v>
      </c>
    </row>
    <row r="1122" spans="1:6" ht="17" x14ac:dyDescent="0.25">
      <c r="A1122" s="6">
        <v>12140</v>
      </c>
      <c r="B1122" t="s">
        <v>100</v>
      </c>
      <c r="C1122">
        <v>142</v>
      </c>
      <c r="D1122">
        <v>83</v>
      </c>
      <c r="E1122">
        <v>3</v>
      </c>
      <c r="F1122">
        <v>3</v>
      </c>
    </row>
    <row r="1123" spans="1:6" ht="17" x14ac:dyDescent="0.25">
      <c r="A1123" s="6">
        <v>12140</v>
      </c>
      <c r="B1123" t="s">
        <v>122</v>
      </c>
      <c r="C1123">
        <v>176</v>
      </c>
      <c r="D1123">
        <v>75</v>
      </c>
      <c r="E1123">
        <v>3</v>
      </c>
      <c r="F1123">
        <v>3</v>
      </c>
    </row>
    <row r="1124" spans="1:6" ht="17" x14ac:dyDescent="0.25">
      <c r="A1124" s="6">
        <v>12140</v>
      </c>
      <c r="B1124" t="s">
        <v>102</v>
      </c>
      <c r="C1124">
        <v>155</v>
      </c>
      <c r="D1124">
        <v>91</v>
      </c>
      <c r="E1124">
        <v>3</v>
      </c>
      <c r="F1124">
        <v>3</v>
      </c>
    </row>
    <row r="1125" spans="1:6" ht="17" x14ac:dyDescent="0.25">
      <c r="A1125" s="6">
        <v>12140</v>
      </c>
      <c r="B1125" t="s">
        <v>123</v>
      </c>
      <c r="C1125">
        <v>145</v>
      </c>
      <c r="D1125">
        <v>118</v>
      </c>
      <c r="E1125">
        <v>3</v>
      </c>
      <c r="F1125">
        <v>3</v>
      </c>
    </row>
    <row r="1126" spans="1:6" ht="17" x14ac:dyDescent="0.25">
      <c r="A1126" s="6">
        <v>12188</v>
      </c>
      <c r="B1126" t="s">
        <v>100</v>
      </c>
      <c r="C1126">
        <v>152</v>
      </c>
      <c r="D1126">
        <v>86</v>
      </c>
      <c r="E1126">
        <v>3</v>
      </c>
      <c r="F1126">
        <v>3</v>
      </c>
    </row>
    <row r="1127" spans="1:6" ht="17" x14ac:dyDescent="0.25">
      <c r="A1127" s="6">
        <v>12188</v>
      </c>
      <c r="B1127" t="s">
        <v>122</v>
      </c>
      <c r="C1127">
        <v>162</v>
      </c>
      <c r="D1127">
        <v>119</v>
      </c>
      <c r="E1127">
        <v>3</v>
      </c>
      <c r="F1127">
        <v>3</v>
      </c>
    </row>
    <row r="1128" spans="1:6" ht="17" x14ac:dyDescent="0.25">
      <c r="A1128" s="6">
        <v>12188</v>
      </c>
      <c r="B1128" t="s">
        <v>102</v>
      </c>
      <c r="C1128">
        <v>140</v>
      </c>
      <c r="D1128">
        <v>107</v>
      </c>
      <c r="E1128">
        <v>3</v>
      </c>
      <c r="F1128">
        <v>3</v>
      </c>
    </row>
    <row r="1129" spans="1:6" ht="17" x14ac:dyDescent="0.25">
      <c r="A1129" s="6">
        <v>12188</v>
      </c>
      <c r="B1129" t="s">
        <v>123</v>
      </c>
      <c r="C1129">
        <v>141</v>
      </c>
      <c r="D1129">
        <v>126</v>
      </c>
      <c r="E1129">
        <v>3</v>
      </c>
      <c r="F1129">
        <v>3</v>
      </c>
    </row>
    <row r="1130" spans="1:6" ht="17" x14ac:dyDescent="0.25">
      <c r="A1130" s="6">
        <v>12236</v>
      </c>
      <c r="B1130" t="s">
        <v>100</v>
      </c>
      <c r="C1130">
        <v>147</v>
      </c>
      <c r="D1130">
        <v>101</v>
      </c>
      <c r="E1130">
        <v>3</v>
      </c>
      <c r="F1130">
        <v>3</v>
      </c>
    </row>
    <row r="1131" spans="1:6" ht="17" x14ac:dyDescent="0.25">
      <c r="A1131" s="6">
        <v>12236</v>
      </c>
      <c r="B1131" t="s">
        <v>122</v>
      </c>
      <c r="C1131">
        <v>132</v>
      </c>
      <c r="D1131">
        <v>86</v>
      </c>
      <c r="E1131">
        <v>3</v>
      </c>
      <c r="F1131">
        <v>3</v>
      </c>
    </row>
    <row r="1132" spans="1:6" ht="17" x14ac:dyDescent="0.25">
      <c r="A1132" s="6">
        <v>12236</v>
      </c>
      <c r="B1132" t="s">
        <v>102</v>
      </c>
      <c r="C1132">
        <v>144</v>
      </c>
      <c r="D1132">
        <v>102</v>
      </c>
      <c r="E1132">
        <v>3</v>
      </c>
      <c r="F1132">
        <v>3</v>
      </c>
    </row>
    <row r="1133" spans="1:6" ht="17" x14ac:dyDescent="0.25">
      <c r="A1133" s="6">
        <v>12236</v>
      </c>
      <c r="B1133" t="s">
        <v>123</v>
      </c>
      <c r="C1133">
        <v>123</v>
      </c>
      <c r="D1133">
        <v>99</v>
      </c>
      <c r="E1133">
        <v>3</v>
      </c>
      <c r="F1133">
        <v>3</v>
      </c>
    </row>
    <row r="1134" spans="1:6" ht="17" x14ac:dyDescent="0.25">
      <c r="A1134" s="6">
        <v>12284</v>
      </c>
      <c r="B1134" t="s">
        <v>100</v>
      </c>
      <c r="C1134">
        <v>150</v>
      </c>
      <c r="D1134">
        <v>76</v>
      </c>
      <c r="E1134">
        <v>3</v>
      </c>
      <c r="F1134">
        <v>3</v>
      </c>
    </row>
    <row r="1135" spans="1:6" ht="17" x14ac:dyDescent="0.25">
      <c r="A1135" s="6">
        <v>12284</v>
      </c>
      <c r="B1135" t="s">
        <v>122</v>
      </c>
      <c r="C1135">
        <v>131</v>
      </c>
      <c r="D1135">
        <v>86</v>
      </c>
      <c r="E1135">
        <v>3</v>
      </c>
      <c r="F1135">
        <v>3</v>
      </c>
    </row>
    <row r="1136" spans="1:6" ht="17" x14ac:dyDescent="0.25">
      <c r="A1136" s="6">
        <v>12284</v>
      </c>
      <c r="B1136" t="s">
        <v>102</v>
      </c>
      <c r="C1136">
        <v>165</v>
      </c>
      <c r="D1136">
        <v>104</v>
      </c>
      <c r="E1136">
        <v>3</v>
      </c>
      <c r="F1136">
        <v>3</v>
      </c>
    </row>
    <row r="1137" spans="1:6" ht="17" x14ac:dyDescent="0.25">
      <c r="A1137" s="6">
        <v>12284</v>
      </c>
      <c r="B1137" t="s">
        <v>123</v>
      </c>
      <c r="C1137">
        <v>142</v>
      </c>
      <c r="D1137">
        <v>98</v>
      </c>
      <c r="E1137">
        <v>3</v>
      </c>
      <c r="F1137">
        <v>3</v>
      </c>
    </row>
    <row r="1138" spans="1:6" ht="17" x14ac:dyDescent="0.25">
      <c r="A1138" s="6">
        <v>12332</v>
      </c>
      <c r="B1138" t="s">
        <v>100</v>
      </c>
      <c r="C1138">
        <v>127</v>
      </c>
      <c r="D1138">
        <v>91</v>
      </c>
      <c r="E1138">
        <v>3</v>
      </c>
      <c r="F1138">
        <v>3</v>
      </c>
    </row>
    <row r="1139" spans="1:6" ht="17" x14ac:dyDescent="0.25">
      <c r="A1139" s="6">
        <v>12332</v>
      </c>
      <c r="B1139" t="s">
        <v>122</v>
      </c>
      <c r="C1139">
        <v>128</v>
      </c>
      <c r="D1139">
        <v>81</v>
      </c>
      <c r="E1139">
        <v>3</v>
      </c>
      <c r="F1139">
        <v>3</v>
      </c>
    </row>
    <row r="1140" spans="1:6" ht="17" x14ac:dyDescent="0.25">
      <c r="A1140" s="6">
        <v>12332</v>
      </c>
      <c r="B1140" t="s">
        <v>102</v>
      </c>
      <c r="C1140">
        <v>123</v>
      </c>
      <c r="D1140">
        <v>108</v>
      </c>
      <c r="E1140">
        <v>3</v>
      </c>
      <c r="F1140">
        <v>3</v>
      </c>
    </row>
    <row r="1141" spans="1:6" ht="17" x14ac:dyDescent="0.25">
      <c r="A1141" s="6">
        <v>12332</v>
      </c>
      <c r="B1141" t="s">
        <v>123</v>
      </c>
      <c r="C1141">
        <v>149</v>
      </c>
      <c r="D1141">
        <v>86</v>
      </c>
      <c r="E1141">
        <v>3</v>
      </c>
      <c r="F1141">
        <v>3</v>
      </c>
    </row>
    <row r="1142" spans="1:6" ht="17" x14ac:dyDescent="0.25">
      <c r="A1142" s="6">
        <v>12380</v>
      </c>
      <c r="B1142" t="s">
        <v>100</v>
      </c>
      <c r="C1142">
        <v>127</v>
      </c>
      <c r="D1142">
        <v>91</v>
      </c>
      <c r="E1142">
        <v>3</v>
      </c>
      <c r="F1142">
        <v>3</v>
      </c>
    </row>
    <row r="1143" spans="1:6" ht="17" x14ac:dyDescent="0.25">
      <c r="A1143" s="6">
        <v>12380</v>
      </c>
      <c r="B1143" t="s">
        <v>122</v>
      </c>
      <c r="C1143">
        <v>128</v>
      </c>
      <c r="D1143">
        <v>81</v>
      </c>
      <c r="E1143">
        <v>3</v>
      </c>
      <c r="F1143">
        <v>3</v>
      </c>
    </row>
    <row r="1144" spans="1:6" ht="17" x14ac:dyDescent="0.25">
      <c r="A1144" s="6">
        <v>12380</v>
      </c>
      <c r="B1144" t="s">
        <v>102</v>
      </c>
      <c r="C1144">
        <v>123</v>
      </c>
      <c r="D1144">
        <v>108</v>
      </c>
      <c r="E1144">
        <v>3</v>
      </c>
      <c r="F1144">
        <v>3</v>
      </c>
    </row>
    <row r="1145" spans="1:6" ht="17" x14ac:dyDescent="0.25">
      <c r="A1145" s="6">
        <v>12380</v>
      </c>
      <c r="B1145" t="s">
        <v>123</v>
      </c>
      <c r="C1145">
        <v>149</v>
      </c>
      <c r="D1145">
        <v>86</v>
      </c>
      <c r="E1145">
        <v>3</v>
      </c>
      <c r="F1145">
        <v>3</v>
      </c>
    </row>
    <row r="1146" spans="1:6" ht="17" x14ac:dyDescent="0.25">
      <c r="A1146" s="6">
        <v>12428</v>
      </c>
      <c r="B1146" t="s">
        <v>100</v>
      </c>
      <c r="C1146">
        <v>139</v>
      </c>
      <c r="D1146">
        <v>103</v>
      </c>
      <c r="E1146">
        <v>3</v>
      </c>
      <c r="F1146">
        <v>3</v>
      </c>
    </row>
    <row r="1147" spans="1:6" ht="17" x14ac:dyDescent="0.25">
      <c r="A1147" s="6">
        <v>12428</v>
      </c>
      <c r="B1147" t="s">
        <v>122</v>
      </c>
      <c r="C1147">
        <v>120</v>
      </c>
      <c r="D1147">
        <v>77</v>
      </c>
      <c r="E1147">
        <v>3</v>
      </c>
      <c r="F1147">
        <v>3</v>
      </c>
    </row>
    <row r="1148" spans="1:6" ht="17" x14ac:dyDescent="0.25">
      <c r="A1148" s="6">
        <v>12428</v>
      </c>
      <c r="B1148" t="s">
        <v>102</v>
      </c>
      <c r="C1148">
        <v>147</v>
      </c>
      <c r="D1148">
        <v>78</v>
      </c>
      <c r="E1148">
        <v>3</v>
      </c>
      <c r="F1148">
        <v>3</v>
      </c>
    </row>
    <row r="1149" spans="1:6" ht="17" x14ac:dyDescent="0.25">
      <c r="A1149" s="6">
        <v>12428</v>
      </c>
      <c r="B1149" t="s">
        <v>123</v>
      </c>
      <c r="C1149">
        <v>128</v>
      </c>
      <c r="D1149">
        <v>98</v>
      </c>
      <c r="E1149">
        <v>3</v>
      </c>
      <c r="F1149">
        <v>3</v>
      </c>
    </row>
    <row r="1150" spans="1:6" ht="17" x14ac:dyDescent="0.25">
      <c r="A1150" s="6">
        <v>12476</v>
      </c>
      <c r="B1150" t="s">
        <v>100</v>
      </c>
      <c r="C1150">
        <v>129</v>
      </c>
      <c r="D1150">
        <v>97</v>
      </c>
      <c r="E1150">
        <v>3</v>
      </c>
      <c r="F1150">
        <v>3</v>
      </c>
    </row>
    <row r="1151" spans="1:6" ht="17" x14ac:dyDescent="0.25">
      <c r="A1151" s="6">
        <v>12476</v>
      </c>
      <c r="B1151" t="s">
        <v>122</v>
      </c>
      <c r="C1151">
        <v>136</v>
      </c>
      <c r="D1151">
        <v>86</v>
      </c>
      <c r="E1151">
        <v>3</v>
      </c>
      <c r="F1151">
        <v>3</v>
      </c>
    </row>
    <row r="1152" spans="1:6" ht="17" x14ac:dyDescent="0.25">
      <c r="A1152" s="6">
        <v>12476</v>
      </c>
      <c r="B1152" t="s">
        <v>102</v>
      </c>
      <c r="C1152">
        <v>119</v>
      </c>
      <c r="D1152">
        <v>86</v>
      </c>
      <c r="E1152">
        <v>3</v>
      </c>
      <c r="F1152">
        <v>3</v>
      </c>
    </row>
    <row r="1153" spans="1:6" ht="17" x14ac:dyDescent="0.25">
      <c r="A1153" s="6">
        <v>12476</v>
      </c>
      <c r="B1153" t="s">
        <v>123</v>
      </c>
      <c r="C1153">
        <v>104</v>
      </c>
      <c r="D1153">
        <v>89</v>
      </c>
      <c r="E1153">
        <v>3</v>
      </c>
      <c r="F1153">
        <v>3</v>
      </c>
    </row>
    <row r="1154" spans="1:6" ht="17" x14ac:dyDescent="0.25">
      <c r="A1154" s="6">
        <v>12524</v>
      </c>
      <c r="B1154" t="s">
        <v>100</v>
      </c>
      <c r="C1154">
        <v>134</v>
      </c>
      <c r="D1154">
        <v>83</v>
      </c>
      <c r="E1154">
        <v>3</v>
      </c>
      <c r="F1154">
        <v>3</v>
      </c>
    </row>
    <row r="1155" spans="1:6" ht="17" x14ac:dyDescent="0.25">
      <c r="A1155" s="6">
        <v>12524</v>
      </c>
      <c r="B1155" t="s">
        <v>122</v>
      </c>
      <c r="C1155">
        <v>118</v>
      </c>
      <c r="D1155">
        <v>101</v>
      </c>
      <c r="E1155">
        <v>3</v>
      </c>
      <c r="F1155">
        <v>3</v>
      </c>
    </row>
    <row r="1156" spans="1:6" ht="17" x14ac:dyDescent="0.25">
      <c r="A1156" s="6">
        <v>12524</v>
      </c>
      <c r="B1156" t="s">
        <v>102</v>
      </c>
      <c r="C1156">
        <v>135</v>
      </c>
      <c r="D1156">
        <v>106</v>
      </c>
      <c r="E1156">
        <v>3</v>
      </c>
      <c r="F1156">
        <v>3</v>
      </c>
    </row>
    <row r="1157" spans="1:6" ht="17" x14ac:dyDescent="0.25">
      <c r="A1157" s="6">
        <v>12524</v>
      </c>
      <c r="B1157" t="s">
        <v>123</v>
      </c>
      <c r="C1157">
        <v>140</v>
      </c>
      <c r="D1157">
        <v>105</v>
      </c>
      <c r="E1157">
        <v>3</v>
      </c>
      <c r="F1157">
        <v>3</v>
      </c>
    </row>
    <row r="1158" spans="1:6" ht="17" x14ac:dyDescent="0.25">
      <c r="A1158" s="6">
        <v>12572</v>
      </c>
      <c r="B1158" t="s">
        <v>100</v>
      </c>
      <c r="C1158">
        <v>119</v>
      </c>
      <c r="D1158">
        <v>129</v>
      </c>
      <c r="E1158">
        <v>3</v>
      </c>
      <c r="F1158">
        <v>3</v>
      </c>
    </row>
    <row r="1159" spans="1:6" ht="17" x14ac:dyDescent="0.25">
      <c r="A1159" s="6">
        <v>12572</v>
      </c>
      <c r="B1159" t="s">
        <v>122</v>
      </c>
      <c r="C1159">
        <v>141</v>
      </c>
      <c r="D1159">
        <v>153</v>
      </c>
      <c r="E1159">
        <v>3</v>
      </c>
      <c r="F1159">
        <v>3</v>
      </c>
    </row>
    <row r="1160" spans="1:6" ht="17" x14ac:dyDescent="0.25">
      <c r="A1160" s="6">
        <v>12572</v>
      </c>
      <c r="B1160" t="s">
        <v>102</v>
      </c>
      <c r="C1160">
        <v>150</v>
      </c>
      <c r="D1160">
        <v>129</v>
      </c>
      <c r="E1160">
        <v>3</v>
      </c>
      <c r="F1160">
        <v>3</v>
      </c>
    </row>
    <row r="1161" spans="1:6" ht="17" x14ac:dyDescent="0.25">
      <c r="A1161" s="6">
        <v>12572</v>
      </c>
      <c r="B1161" t="s">
        <v>123</v>
      </c>
      <c r="C1161">
        <v>133</v>
      </c>
      <c r="D1161">
        <v>141</v>
      </c>
      <c r="E1161">
        <v>3</v>
      </c>
      <c r="F1161">
        <v>3</v>
      </c>
    </row>
    <row r="1162" spans="1:6" ht="17" x14ac:dyDescent="0.25">
      <c r="A1162" s="6">
        <v>12620</v>
      </c>
      <c r="B1162" t="s">
        <v>100</v>
      </c>
      <c r="C1162">
        <v>155</v>
      </c>
      <c r="D1162">
        <v>103</v>
      </c>
      <c r="E1162">
        <v>3</v>
      </c>
      <c r="F1162">
        <v>3</v>
      </c>
    </row>
    <row r="1163" spans="1:6" ht="17" x14ac:dyDescent="0.25">
      <c r="A1163" s="6">
        <v>12620</v>
      </c>
      <c r="B1163" t="s">
        <v>122</v>
      </c>
      <c r="C1163">
        <v>143</v>
      </c>
      <c r="D1163">
        <v>92</v>
      </c>
      <c r="E1163">
        <v>3</v>
      </c>
      <c r="F1163">
        <v>3</v>
      </c>
    </row>
    <row r="1164" spans="1:6" ht="17" x14ac:dyDescent="0.25">
      <c r="A1164" s="6">
        <v>12620</v>
      </c>
      <c r="B1164" t="s">
        <v>102</v>
      </c>
      <c r="C1164">
        <v>136</v>
      </c>
      <c r="D1164">
        <v>91</v>
      </c>
      <c r="E1164">
        <v>3</v>
      </c>
      <c r="F1164">
        <v>3</v>
      </c>
    </row>
    <row r="1165" spans="1:6" ht="17" x14ac:dyDescent="0.25">
      <c r="A1165" s="6">
        <v>12620</v>
      </c>
      <c r="B1165" t="s">
        <v>123</v>
      </c>
      <c r="C1165">
        <v>175</v>
      </c>
      <c r="D1165">
        <v>96</v>
      </c>
      <c r="E1165">
        <v>3</v>
      </c>
      <c r="F1165">
        <v>3</v>
      </c>
    </row>
    <row r="1166" spans="1:6" ht="17" x14ac:dyDescent="0.25">
      <c r="A1166" s="6">
        <v>12668</v>
      </c>
      <c r="B1166" t="s">
        <v>100</v>
      </c>
      <c r="C1166">
        <v>115</v>
      </c>
      <c r="D1166">
        <v>125</v>
      </c>
      <c r="E1166">
        <v>3</v>
      </c>
      <c r="F1166">
        <v>3</v>
      </c>
    </row>
    <row r="1167" spans="1:6" ht="17" x14ac:dyDescent="0.25">
      <c r="A1167" s="6">
        <v>12668</v>
      </c>
      <c r="B1167" t="s">
        <v>122</v>
      </c>
      <c r="C1167">
        <v>133</v>
      </c>
      <c r="D1167">
        <v>122</v>
      </c>
      <c r="E1167">
        <v>3</v>
      </c>
      <c r="F1167">
        <v>3</v>
      </c>
    </row>
    <row r="1168" spans="1:6" ht="17" x14ac:dyDescent="0.25">
      <c r="A1168" s="6">
        <v>12668</v>
      </c>
      <c r="B1168" t="s">
        <v>102</v>
      </c>
      <c r="C1168">
        <v>136</v>
      </c>
      <c r="D1168">
        <v>108</v>
      </c>
      <c r="E1168">
        <v>3</v>
      </c>
      <c r="F1168">
        <v>3</v>
      </c>
    </row>
    <row r="1169" spans="1:6" ht="17" x14ac:dyDescent="0.25">
      <c r="A1169" s="6">
        <v>12668</v>
      </c>
      <c r="B1169" t="s">
        <v>123</v>
      </c>
      <c r="C1169">
        <v>135</v>
      </c>
      <c r="D1169">
        <v>93</v>
      </c>
      <c r="E1169">
        <v>3</v>
      </c>
      <c r="F1169">
        <v>3</v>
      </c>
    </row>
    <row r="1170" spans="1:6" ht="17" x14ac:dyDescent="0.25">
      <c r="A1170" s="6">
        <v>12716</v>
      </c>
      <c r="B1170" t="s">
        <v>100</v>
      </c>
      <c r="C1170">
        <v>139</v>
      </c>
      <c r="D1170">
        <v>124</v>
      </c>
      <c r="E1170">
        <v>3</v>
      </c>
      <c r="F1170">
        <v>3</v>
      </c>
    </row>
    <row r="1171" spans="1:6" ht="17" x14ac:dyDescent="0.25">
      <c r="A1171" s="6">
        <v>12716</v>
      </c>
      <c r="B1171" t="s">
        <v>122</v>
      </c>
      <c r="C1171">
        <v>173</v>
      </c>
      <c r="D1171">
        <v>88</v>
      </c>
      <c r="E1171">
        <v>3</v>
      </c>
      <c r="F1171">
        <v>3</v>
      </c>
    </row>
    <row r="1172" spans="1:6" ht="17" x14ac:dyDescent="0.25">
      <c r="A1172" s="6">
        <v>12716</v>
      </c>
      <c r="B1172" t="s">
        <v>102</v>
      </c>
      <c r="C1172">
        <v>141</v>
      </c>
      <c r="D1172">
        <v>132</v>
      </c>
      <c r="E1172">
        <v>3</v>
      </c>
      <c r="F1172">
        <v>3</v>
      </c>
    </row>
    <row r="1173" spans="1:6" ht="17" x14ac:dyDescent="0.25">
      <c r="A1173" s="6">
        <v>12716</v>
      </c>
      <c r="B1173" t="s">
        <v>123</v>
      </c>
      <c r="C1173">
        <v>156</v>
      </c>
      <c r="D1173">
        <v>96</v>
      </c>
      <c r="E1173">
        <v>3</v>
      </c>
      <c r="F1173">
        <v>3</v>
      </c>
    </row>
    <row r="1174" spans="1:6" ht="17" x14ac:dyDescent="0.25">
      <c r="A1174" s="6">
        <v>12764</v>
      </c>
      <c r="B1174" t="s">
        <v>100</v>
      </c>
      <c r="C1174">
        <v>128</v>
      </c>
      <c r="D1174">
        <v>127</v>
      </c>
      <c r="E1174">
        <v>3</v>
      </c>
      <c r="F1174">
        <v>3</v>
      </c>
    </row>
    <row r="1175" spans="1:6" ht="17" x14ac:dyDescent="0.25">
      <c r="A1175" s="6">
        <v>12764</v>
      </c>
      <c r="B1175" t="s">
        <v>122</v>
      </c>
      <c r="C1175">
        <v>123</v>
      </c>
      <c r="D1175">
        <v>115</v>
      </c>
      <c r="E1175">
        <v>3</v>
      </c>
      <c r="F1175">
        <v>3</v>
      </c>
    </row>
    <row r="1176" spans="1:6" ht="17" x14ac:dyDescent="0.25">
      <c r="A1176" s="6">
        <v>12764</v>
      </c>
      <c r="B1176" t="s">
        <v>102</v>
      </c>
      <c r="C1176">
        <v>179</v>
      </c>
      <c r="D1176">
        <v>130</v>
      </c>
      <c r="E1176">
        <v>3</v>
      </c>
      <c r="F1176">
        <v>3</v>
      </c>
    </row>
    <row r="1177" spans="1:6" ht="17" x14ac:dyDescent="0.25">
      <c r="A1177" s="6">
        <v>12764</v>
      </c>
      <c r="B1177" t="s">
        <v>123</v>
      </c>
      <c r="C1177">
        <v>158</v>
      </c>
      <c r="D1177">
        <v>132</v>
      </c>
      <c r="E1177">
        <v>3</v>
      </c>
      <c r="F1177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92EBC-05CF-8541-88D2-1B82530CDE04}">
  <dimension ref="A1:M96"/>
  <sheetViews>
    <sheetView workbookViewId="0">
      <selection activeCell="K27" sqref="K27"/>
    </sheetView>
  </sheetViews>
  <sheetFormatPr baseColWidth="10" defaultRowHeight="16" x14ac:dyDescent="0.2"/>
  <cols>
    <col min="8" max="8" width="12.1640625" bestFit="1" customWidth="1"/>
    <col min="11" max="11" width="18.83203125" bestFit="1" customWidth="1"/>
  </cols>
  <sheetData>
    <row r="1" spans="1:13" x14ac:dyDescent="0.2">
      <c r="A1">
        <v>2</v>
      </c>
      <c r="E1" t="s">
        <v>105</v>
      </c>
      <c r="I1" t="s">
        <v>106</v>
      </c>
      <c r="K1" t="s">
        <v>107</v>
      </c>
    </row>
    <row r="2" spans="1:13" x14ac:dyDescent="0.2">
      <c r="A2">
        <v>0</v>
      </c>
      <c r="D2">
        <v>0</v>
      </c>
      <c r="E2">
        <f>COUNTIF(A:A,D2)</f>
        <v>93</v>
      </c>
      <c r="F2">
        <f>E2/96</f>
        <v>0.96875</v>
      </c>
      <c r="I2">
        <v>44</v>
      </c>
      <c r="K2">
        <v>50</v>
      </c>
      <c r="L2">
        <f>K2*M2</f>
        <v>92.307692307692307</v>
      </c>
      <c r="M2">
        <f>96/52</f>
        <v>1.8461538461538463</v>
      </c>
    </row>
    <row r="3" spans="1:13" x14ac:dyDescent="0.2">
      <c r="A3">
        <v>0</v>
      </c>
      <c r="D3">
        <v>1</v>
      </c>
      <c r="E3">
        <f>COUNTIF(A:A,D3)</f>
        <v>2</v>
      </c>
      <c r="F3">
        <f t="shared" ref="F3:F14" si="0">E3/96</f>
        <v>2.0833333333333332E-2</v>
      </c>
      <c r="I3">
        <v>16</v>
      </c>
      <c r="K3">
        <v>2</v>
      </c>
      <c r="L3">
        <f>K3*M2</f>
        <v>3.6923076923076925</v>
      </c>
    </row>
    <row r="4" spans="1:13" x14ac:dyDescent="0.2">
      <c r="A4">
        <v>0</v>
      </c>
      <c r="D4">
        <v>2</v>
      </c>
      <c r="E4">
        <f t="shared" ref="E4:E14" si="1">COUNTIF(A:A,D4)</f>
        <v>1</v>
      </c>
      <c r="F4">
        <f t="shared" si="0"/>
        <v>1.0416666666666666E-2</v>
      </c>
      <c r="I4">
        <v>0</v>
      </c>
      <c r="K4">
        <v>0</v>
      </c>
    </row>
    <row r="5" spans="1:13" x14ac:dyDescent="0.2">
      <c r="A5">
        <v>0</v>
      </c>
      <c r="D5">
        <v>3</v>
      </c>
      <c r="E5">
        <f t="shared" si="1"/>
        <v>0</v>
      </c>
      <c r="F5">
        <f t="shared" si="0"/>
        <v>0</v>
      </c>
      <c r="I5">
        <v>2</v>
      </c>
      <c r="K5">
        <v>0</v>
      </c>
    </row>
    <row r="6" spans="1:13" x14ac:dyDescent="0.2">
      <c r="A6">
        <v>0</v>
      </c>
      <c r="D6">
        <v>4</v>
      </c>
      <c r="E6">
        <f t="shared" si="1"/>
        <v>0</v>
      </c>
      <c r="F6">
        <f t="shared" si="0"/>
        <v>0</v>
      </c>
      <c r="I6">
        <v>0</v>
      </c>
      <c r="K6">
        <v>0</v>
      </c>
    </row>
    <row r="7" spans="1:13" x14ac:dyDescent="0.2">
      <c r="A7">
        <v>0</v>
      </c>
      <c r="D7">
        <v>5</v>
      </c>
      <c r="E7">
        <f t="shared" si="1"/>
        <v>0</v>
      </c>
      <c r="F7">
        <f t="shared" si="0"/>
        <v>0</v>
      </c>
      <c r="I7">
        <v>3</v>
      </c>
      <c r="K7">
        <v>0</v>
      </c>
    </row>
    <row r="8" spans="1:13" x14ac:dyDescent="0.2">
      <c r="A8">
        <v>0</v>
      </c>
      <c r="D8">
        <v>6</v>
      </c>
      <c r="E8">
        <f t="shared" si="1"/>
        <v>0</v>
      </c>
      <c r="F8">
        <f t="shared" si="0"/>
        <v>0</v>
      </c>
      <c r="I8">
        <v>0</v>
      </c>
      <c r="K8">
        <v>0</v>
      </c>
    </row>
    <row r="9" spans="1:13" x14ac:dyDescent="0.2">
      <c r="A9">
        <v>0</v>
      </c>
      <c r="D9">
        <v>7</v>
      </c>
      <c r="E9">
        <f t="shared" si="1"/>
        <v>0</v>
      </c>
      <c r="F9">
        <f t="shared" si="0"/>
        <v>0</v>
      </c>
      <c r="I9">
        <v>0</v>
      </c>
      <c r="K9">
        <v>0</v>
      </c>
    </row>
    <row r="10" spans="1:13" x14ac:dyDescent="0.2">
      <c r="A10">
        <v>0</v>
      </c>
      <c r="D10">
        <v>8</v>
      </c>
      <c r="E10">
        <f t="shared" si="1"/>
        <v>0</v>
      </c>
      <c r="F10">
        <f t="shared" si="0"/>
        <v>0</v>
      </c>
      <c r="I10">
        <v>0</v>
      </c>
      <c r="K10">
        <v>0</v>
      </c>
    </row>
    <row r="11" spans="1:13" x14ac:dyDescent="0.2">
      <c r="A11">
        <v>0</v>
      </c>
      <c r="D11">
        <v>9</v>
      </c>
      <c r="E11">
        <f t="shared" si="1"/>
        <v>0</v>
      </c>
      <c r="F11">
        <f t="shared" si="0"/>
        <v>0</v>
      </c>
      <c r="I11">
        <v>0</v>
      </c>
      <c r="K11">
        <v>0</v>
      </c>
    </row>
    <row r="12" spans="1:13" x14ac:dyDescent="0.2">
      <c r="A12">
        <v>0</v>
      </c>
      <c r="D12">
        <v>10</v>
      </c>
      <c r="E12">
        <f t="shared" si="1"/>
        <v>0</v>
      </c>
      <c r="F12">
        <f t="shared" si="0"/>
        <v>0</v>
      </c>
      <c r="I12">
        <v>0</v>
      </c>
      <c r="K12">
        <v>0</v>
      </c>
    </row>
    <row r="13" spans="1:13" x14ac:dyDescent="0.2">
      <c r="A13">
        <v>0</v>
      </c>
      <c r="D13">
        <v>11</v>
      </c>
      <c r="E13">
        <f t="shared" si="1"/>
        <v>0</v>
      </c>
      <c r="F13">
        <f t="shared" si="0"/>
        <v>0</v>
      </c>
      <c r="I13">
        <v>0</v>
      </c>
      <c r="K13">
        <v>0</v>
      </c>
    </row>
    <row r="14" spans="1:13" x14ac:dyDescent="0.2">
      <c r="A14">
        <v>0</v>
      </c>
      <c r="D14">
        <v>12</v>
      </c>
      <c r="E14">
        <f t="shared" si="1"/>
        <v>0</v>
      </c>
      <c r="F14">
        <f t="shared" si="0"/>
        <v>0</v>
      </c>
      <c r="I14">
        <v>0</v>
      </c>
      <c r="K14">
        <v>0</v>
      </c>
    </row>
    <row r="15" spans="1:13" x14ac:dyDescent="0.2">
      <c r="A15">
        <v>0</v>
      </c>
    </row>
    <row r="16" spans="1:13" x14ac:dyDescent="0.2">
      <c r="A16">
        <v>0</v>
      </c>
    </row>
    <row r="17" spans="1:13" x14ac:dyDescent="0.2">
      <c r="A17">
        <v>0</v>
      </c>
    </row>
    <row r="18" spans="1:13" x14ac:dyDescent="0.2">
      <c r="A18">
        <v>0</v>
      </c>
    </row>
    <row r="19" spans="1:13" x14ac:dyDescent="0.2">
      <c r="A19">
        <v>0</v>
      </c>
    </row>
    <row r="20" spans="1:13" x14ac:dyDescent="0.2">
      <c r="A20">
        <v>0</v>
      </c>
    </row>
    <row r="21" spans="1:13" x14ac:dyDescent="0.2">
      <c r="A21">
        <v>0</v>
      </c>
      <c r="E21" t="s">
        <v>108</v>
      </c>
      <c r="M21" s="3"/>
    </row>
    <row r="22" spans="1:13" ht="20" x14ac:dyDescent="0.2">
      <c r="A22">
        <v>0</v>
      </c>
      <c r="E22" s="1">
        <v>3.28E-10</v>
      </c>
    </row>
    <row r="23" spans="1:13" x14ac:dyDescent="0.2">
      <c r="A23">
        <v>0</v>
      </c>
    </row>
    <row r="24" spans="1:13" x14ac:dyDescent="0.2">
      <c r="A24">
        <v>0</v>
      </c>
    </row>
    <row r="25" spans="1:13" x14ac:dyDescent="0.2">
      <c r="A25">
        <v>0</v>
      </c>
    </row>
    <row r="26" spans="1:13" x14ac:dyDescent="0.2">
      <c r="A26">
        <v>0</v>
      </c>
    </row>
    <row r="27" spans="1:13" ht="18" x14ac:dyDescent="0.2">
      <c r="A27">
        <v>0</v>
      </c>
      <c r="G27" s="2">
        <v>45500000</v>
      </c>
      <c r="H27">
        <f>LOG(G27,2)</f>
        <v>25.43936320952287</v>
      </c>
      <c r="K27" s="5"/>
    </row>
    <row r="28" spans="1:13" x14ac:dyDescent="0.2">
      <c r="A28">
        <v>0</v>
      </c>
    </row>
    <row r="29" spans="1:13" ht="18" x14ac:dyDescent="0.2">
      <c r="A29">
        <v>0</v>
      </c>
      <c r="G29" s="2">
        <v>3815000000</v>
      </c>
      <c r="H29">
        <f>LOG(G29,2)</f>
        <v>31.829035911046066</v>
      </c>
    </row>
    <row r="30" spans="1:13" x14ac:dyDescent="0.2">
      <c r="A30">
        <v>0</v>
      </c>
    </row>
    <row r="31" spans="1:13" ht="18" x14ac:dyDescent="0.2">
      <c r="A31">
        <v>0</v>
      </c>
      <c r="E31" s="2">
        <v>448000000</v>
      </c>
      <c r="G31" s="2">
        <v>52250</v>
      </c>
      <c r="H31">
        <f>G31/E31</f>
        <v>1.1662946428571428E-4</v>
      </c>
    </row>
    <row r="32" spans="1:13" x14ac:dyDescent="0.2">
      <c r="A32">
        <v>0</v>
      </c>
    </row>
    <row r="33" spans="1:1" x14ac:dyDescent="0.2">
      <c r="A33">
        <v>0</v>
      </c>
    </row>
    <row r="34" spans="1:1" x14ac:dyDescent="0.2">
      <c r="A34">
        <v>0</v>
      </c>
    </row>
    <row r="35" spans="1:1" x14ac:dyDescent="0.2">
      <c r="A35">
        <v>0</v>
      </c>
    </row>
    <row r="36" spans="1:1" x14ac:dyDescent="0.2">
      <c r="A36">
        <v>0</v>
      </c>
    </row>
    <row r="37" spans="1:1" x14ac:dyDescent="0.2">
      <c r="A37">
        <v>0</v>
      </c>
    </row>
    <row r="38" spans="1:1" x14ac:dyDescent="0.2">
      <c r="A38">
        <v>0</v>
      </c>
    </row>
    <row r="39" spans="1:1" x14ac:dyDescent="0.2">
      <c r="A39">
        <v>0</v>
      </c>
    </row>
    <row r="40" spans="1:1" x14ac:dyDescent="0.2">
      <c r="A40">
        <v>0</v>
      </c>
    </row>
    <row r="41" spans="1:1" x14ac:dyDescent="0.2">
      <c r="A41">
        <v>0</v>
      </c>
    </row>
    <row r="42" spans="1:1" x14ac:dyDescent="0.2">
      <c r="A42">
        <v>0</v>
      </c>
    </row>
    <row r="43" spans="1:1" x14ac:dyDescent="0.2">
      <c r="A43">
        <v>0</v>
      </c>
    </row>
    <row r="44" spans="1:1" x14ac:dyDescent="0.2">
      <c r="A44">
        <v>0</v>
      </c>
    </row>
    <row r="45" spans="1:1" x14ac:dyDescent="0.2">
      <c r="A45">
        <v>0</v>
      </c>
    </row>
    <row r="46" spans="1:1" x14ac:dyDescent="0.2">
      <c r="A46">
        <v>0</v>
      </c>
    </row>
    <row r="47" spans="1:1" x14ac:dyDescent="0.2">
      <c r="A47">
        <v>0</v>
      </c>
    </row>
    <row r="48" spans="1:1" x14ac:dyDescent="0.2">
      <c r="A48">
        <v>0</v>
      </c>
    </row>
    <row r="49" spans="1:1" x14ac:dyDescent="0.2">
      <c r="A49">
        <v>0</v>
      </c>
    </row>
    <row r="50" spans="1:1" x14ac:dyDescent="0.2">
      <c r="A50">
        <v>0</v>
      </c>
    </row>
    <row r="51" spans="1:1" x14ac:dyDescent="0.2">
      <c r="A51">
        <v>0</v>
      </c>
    </row>
    <row r="52" spans="1:1" x14ac:dyDescent="0.2">
      <c r="A52">
        <v>0</v>
      </c>
    </row>
    <row r="53" spans="1:1" x14ac:dyDescent="0.2">
      <c r="A53">
        <v>0</v>
      </c>
    </row>
    <row r="54" spans="1:1" x14ac:dyDescent="0.2">
      <c r="A54">
        <v>0</v>
      </c>
    </row>
    <row r="55" spans="1:1" x14ac:dyDescent="0.2">
      <c r="A55">
        <v>0</v>
      </c>
    </row>
    <row r="56" spans="1:1" x14ac:dyDescent="0.2">
      <c r="A56">
        <v>1</v>
      </c>
    </row>
    <row r="57" spans="1:1" x14ac:dyDescent="0.2">
      <c r="A57">
        <v>0</v>
      </c>
    </row>
    <row r="58" spans="1:1" x14ac:dyDescent="0.2">
      <c r="A58">
        <v>0</v>
      </c>
    </row>
    <row r="59" spans="1:1" x14ac:dyDescent="0.2">
      <c r="A59">
        <v>0</v>
      </c>
    </row>
    <row r="60" spans="1:1" x14ac:dyDescent="0.2">
      <c r="A60">
        <v>0</v>
      </c>
    </row>
    <row r="61" spans="1:1" x14ac:dyDescent="0.2">
      <c r="A61">
        <v>0</v>
      </c>
    </row>
    <row r="62" spans="1:1" x14ac:dyDescent="0.2">
      <c r="A62">
        <v>0</v>
      </c>
    </row>
    <row r="63" spans="1:1" x14ac:dyDescent="0.2">
      <c r="A63">
        <v>0</v>
      </c>
    </row>
    <row r="64" spans="1:1" x14ac:dyDescent="0.2">
      <c r="A64">
        <v>0</v>
      </c>
    </row>
    <row r="65" spans="1:1" x14ac:dyDescent="0.2">
      <c r="A65">
        <v>0</v>
      </c>
    </row>
    <row r="66" spans="1:1" x14ac:dyDescent="0.2">
      <c r="A66">
        <v>0</v>
      </c>
    </row>
    <row r="67" spans="1:1" x14ac:dyDescent="0.2">
      <c r="A67">
        <v>0</v>
      </c>
    </row>
    <row r="68" spans="1:1" x14ac:dyDescent="0.2">
      <c r="A68">
        <v>0</v>
      </c>
    </row>
    <row r="69" spans="1:1" x14ac:dyDescent="0.2">
      <c r="A69">
        <v>0</v>
      </c>
    </row>
    <row r="70" spans="1:1" x14ac:dyDescent="0.2">
      <c r="A70">
        <v>0</v>
      </c>
    </row>
    <row r="71" spans="1:1" x14ac:dyDescent="0.2">
      <c r="A71">
        <v>0</v>
      </c>
    </row>
    <row r="72" spans="1:1" x14ac:dyDescent="0.2">
      <c r="A72">
        <v>0</v>
      </c>
    </row>
    <row r="73" spans="1:1" x14ac:dyDescent="0.2">
      <c r="A73">
        <v>0</v>
      </c>
    </row>
    <row r="74" spans="1:1" x14ac:dyDescent="0.2">
      <c r="A74">
        <v>0</v>
      </c>
    </row>
    <row r="75" spans="1:1" x14ac:dyDescent="0.2">
      <c r="A75">
        <v>0</v>
      </c>
    </row>
    <row r="76" spans="1:1" x14ac:dyDescent="0.2">
      <c r="A76">
        <v>0</v>
      </c>
    </row>
    <row r="77" spans="1:1" x14ac:dyDescent="0.2">
      <c r="A77">
        <v>0</v>
      </c>
    </row>
    <row r="78" spans="1:1" x14ac:dyDescent="0.2">
      <c r="A78">
        <v>0</v>
      </c>
    </row>
    <row r="79" spans="1:1" x14ac:dyDescent="0.2">
      <c r="A79">
        <v>0</v>
      </c>
    </row>
    <row r="80" spans="1:1" x14ac:dyDescent="0.2">
      <c r="A80">
        <v>0</v>
      </c>
    </row>
    <row r="81" spans="1:1" x14ac:dyDescent="0.2">
      <c r="A81">
        <v>0</v>
      </c>
    </row>
    <row r="82" spans="1:1" x14ac:dyDescent="0.2">
      <c r="A82">
        <v>0</v>
      </c>
    </row>
    <row r="83" spans="1:1" x14ac:dyDescent="0.2">
      <c r="A83">
        <v>0</v>
      </c>
    </row>
    <row r="84" spans="1:1" x14ac:dyDescent="0.2">
      <c r="A84">
        <v>0</v>
      </c>
    </row>
    <row r="85" spans="1:1" x14ac:dyDescent="0.2">
      <c r="A85">
        <v>0</v>
      </c>
    </row>
    <row r="86" spans="1:1" x14ac:dyDescent="0.2">
      <c r="A86">
        <v>0</v>
      </c>
    </row>
    <row r="87" spans="1:1" x14ac:dyDescent="0.2">
      <c r="A87">
        <v>0</v>
      </c>
    </row>
    <row r="88" spans="1:1" x14ac:dyDescent="0.2">
      <c r="A88">
        <v>0</v>
      </c>
    </row>
    <row r="89" spans="1:1" x14ac:dyDescent="0.2">
      <c r="A89">
        <v>0</v>
      </c>
    </row>
    <row r="90" spans="1:1" x14ac:dyDescent="0.2">
      <c r="A90">
        <v>0</v>
      </c>
    </row>
    <row r="91" spans="1:1" x14ac:dyDescent="0.2">
      <c r="A91">
        <v>0</v>
      </c>
    </row>
    <row r="92" spans="1:1" x14ac:dyDescent="0.2">
      <c r="A92">
        <v>0</v>
      </c>
    </row>
    <row r="93" spans="1:1" x14ac:dyDescent="0.2">
      <c r="A93">
        <v>0</v>
      </c>
    </row>
    <row r="94" spans="1:1" x14ac:dyDescent="0.2">
      <c r="A94">
        <v>0</v>
      </c>
    </row>
    <row r="95" spans="1:1" x14ac:dyDescent="0.2">
      <c r="A95">
        <v>1</v>
      </c>
    </row>
    <row r="96" spans="1:1" x14ac:dyDescent="0.2">
      <c r="A9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B6C51-EDA4-3846-BC23-B10E92FD37CB}">
  <dimension ref="B1:T39"/>
  <sheetViews>
    <sheetView topLeftCell="B3" workbookViewId="0">
      <selection activeCell="I39" sqref="I39"/>
    </sheetView>
  </sheetViews>
  <sheetFormatPr baseColWidth="10" defaultRowHeight="16" x14ac:dyDescent="0.2"/>
  <cols>
    <col min="7" max="7" width="11.1640625" bestFit="1" customWidth="1"/>
    <col min="8" max="8" width="12.1640625" bestFit="1" customWidth="1"/>
    <col min="13" max="13" width="11.1640625" bestFit="1" customWidth="1"/>
  </cols>
  <sheetData>
    <row r="1" spans="2:20" x14ac:dyDescent="0.2">
      <c r="B1" t="s">
        <v>109</v>
      </c>
      <c r="C1" t="s">
        <v>110</v>
      </c>
      <c r="D1" t="s">
        <v>114</v>
      </c>
      <c r="E1" t="s">
        <v>112</v>
      </c>
      <c r="F1" t="s">
        <v>111</v>
      </c>
      <c r="G1" t="s">
        <v>113</v>
      </c>
      <c r="M1" t="s">
        <v>109</v>
      </c>
      <c r="N1" t="s">
        <v>110</v>
      </c>
      <c r="O1" t="s">
        <v>114</v>
      </c>
      <c r="P1" t="s">
        <v>112</v>
      </c>
      <c r="Q1" t="s">
        <v>111</v>
      </c>
      <c r="R1" t="s">
        <v>113</v>
      </c>
    </row>
    <row r="2" spans="2:20" x14ac:dyDescent="0.2">
      <c r="B2">
        <v>0</v>
      </c>
      <c r="C2">
        <v>1</v>
      </c>
      <c r="D2">
        <v>0</v>
      </c>
      <c r="M2">
        <v>0</v>
      </c>
      <c r="N2">
        <v>1</v>
      </c>
      <c r="O2">
        <v>0</v>
      </c>
    </row>
    <row r="3" spans="2:20" x14ac:dyDescent="0.2">
      <c r="B3">
        <v>1</v>
      </c>
      <c r="C3">
        <f>2^B3</f>
        <v>2</v>
      </c>
      <c r="D3">
        <f>C3-C2</f>
        <v>1</v>
      </c>
      <c r="E3" s="3">
        <v>4215606</v>
      </c>
      <c r="F3">
        <v>3.28E-10</v>
      </c>
      <c r="G3">
        <f>D3*E3*F3</f>
        <v>1.382718768E-3</v>
      </c>
      <c r="I3">
        <f>C3*E3*F3</f>
        <v>2.765437536E-3</v>
      </c>
      <c r="M3">
        <v>1</v>
      </c>
      <c r="N3">
        <f>2^M3</f>
        <v>2</v>
      </c>
      <c r="O3">
        <f>N3-N2</f>
        <v>1</v>
      </c>
      <c r="P3" s="3">
        <v>4215606</v>
      </c>
      <c r="Q3">
        <v>3.28E-10</v>
      </c>
      <c r="R3">
        <f>O3*P3*Q3</f>
        <v>1.382718768E-3</v>
      </c>
      <c r="T3">
        <f>N3*P3*Q3</f>
        <v>2.765437536E-3</v>
      </c>
    </row>
    <row r="4" spans="2:20" x14ac:dyDescent="0.2">
      <c r="B4">
        <v>2</v>
      </c>
      <c r="C4">
        <f t="shared" ref="C4:C33" si="0">2^B4</f>
        <v>4</v>
      </c>
      <c r="D4">
        <f t="shared" ref="D4:D34" si="1">C4-C3</f>
        <v>2</v>
      </c>
      <c r="E4" s="3">
        <v>4215606</v>
      </c>
      <c r="F4">
        <v>3.28E-10</v>
      </c>
      <c r="G4">
        <f t="shared" ref="G4:G34" si="2">D4*E4*F4</f>
        <v>2.765437536E-3</v>
      </c>
      <c r="I4">
        <f t="shared" ref="I4:I34" si="3">C4*E4*F4</f>
        <v>5.5308750719999999E-3</v>
      </c>
      <c r="M4">
        <v>2</v>
      </c>
      <c r="N4">
        <f t="shared" ref="N4:N27" si="4">2^M4</f>
        <v>4</v>
      </c>
      <c r="O4">
        <f t="shared" ref="O4:O28" si="5">N4-N3</f>
        <v>2</v>
      </c>
      <c r="P4" s="3">
        <v>4215606</v>
      </c>
      <c r="Q4">
        <v>3.28E-10</v>
      </c>
      <c r="R4">
        <f t="shared" ref="R4:R27" si="6">O4*P4*Q4</f>
        <v>2.765437536E-3</v>
      </c>
      <c r="T4">
        <f t="shared" ref="T4:T27" si="7">N4*P4*Q4</f>
        <v>5.5308750719999999E-3</v>
      </c>
    </row>
    <row r="5" spans="2:20" x14ac:dyDescent="0.2">
      <c r="B5">
        <v>3</v>
      </c>
      <c r="C5">
        <f t="shared" si="0"/>
        <v>8</v>
      </c>
      <c r="D5">
        <f t="shared" si="1"/>
        <v>4</v>
      </c>
      <c r="E5" s="3">
        <v>4215606</v>
      </c>
      <c r="F5">
        <v>3.28E-10</v>
      </c>
      <c r="G5">
        <f t="shared" si="2"/>
        <v>5.5308750719999999E-3</v>
      </c>
      <c r="I5">
        <f t="shared" si="3"/>
        <v>1.1061750144E-2</v>
      </c>
      <c r="M5">
        <v>3</v>
      </c>
      <c r="N5">
        <f t="shared" si="4"/>
        <v>8</v>
      </c>
      <c r="O5">
        <f t="shared" si="5"/>
        <v>4</v>
      </c>
      <c r="P5" s="3">
        <v>4215606</v>
      </c>
      <c r="Q5">
        <v>3.28E-10</v>
      </c>
      <c r="R5">
        <f t="shared" si="6"/>
        <v>5.5308750719999999E-3</v>
      </c>
      <c r="T5">
        <f t="shared" si="7"/>
        <v>1.1061750144E-2</v>
      </c>
    </row>
    <row r="6" spans="2:20" x14ac:dyDescent="0.2">
      <c r="B6">
        <v>4</v>
      </c>
      <c r="C6">
        <f t="shared" si="0"/>
        <v>16</v>
      </c>
      <c r="D6">
        <f t="shared" si="1"/>
        <v>8</v>
      </c>
      <c r="E6" s="3">
        <v>4215606</v>
      </c>
      <c r="F6">
        <v>3.28E-10</v>
      </c>
      <c r="G6">
        <f t="shared" si="2"/>
        <v>1.1061750144E-2</v>
      </c>
      <c r="I6">
        <f t="shared" si="3"/>
        <v>2.2123500288E-2</v>
      </c>
      <c r="M6">
        <v>4</v>
      </c>
      <c r="N6">
        <f t="shared" si="4"/>
        <v>16</v>
      </c>
      <c r="O6">
        <f t="shared" si="5"/>
        <v>8</v>
      </c>
      <c r="P6" s="3">
        <v>4215606</v>
      </c>
      <c r="Q6">
        <v>3.28E-10</v>
      </c>
      <c r="R6">
        <f t="shared" si="6"/>
        <v>1.1061750144E-2</v>
      </c>
      <c r="T6">
        <f t="shared" si="7"/>
        <v>2.2123500288E-2</v>
      </c>
    </row>
    <row r="7" spans="2:20" x14ac:dyDescent="0.2">
      <c r="B7">
        <v>5</v>
      </c>
      <c r="C7">
        <f t="shared" si="0"/>
        <v>32</v>
      </c>
      <c r="D7">
        <f t="shared" si="1"/>
        <v>16</v>
      </c>
      <c r="E7" s="3">
        <v>4215606</v>
      </c>
      <c r="F7">
        <v>3.28E-10</v>
      </c>
      <c r="G7">
        <f t="shared" si="2"/>
        <v>2.2123500288E-2</v>
      </c>
      <c r="I7">
        <f t="shared" si="3"/>
        <v>4.4247000575999999E-2</v>
      </c>
      <c r="M7">
        <v>5</v>
      </c>
      <c r="N7">
        <f t="shared" si="4"/>
        <v>32</v>
      </c>
      <c r="O7">
        <f t="shared" si="5"/>
        <v>16</v>
      </c>
      <c r="P7" s="3">
        <v>4215606</v>
      </c>
      <c r="Q7">
        <v>3.28E-10</v>
      </c>
      <c r="R7">
        <f t="shared" si="6"/>
        <v>2.2123500288E-2</v>
      </c>
      <c r="T7">
        <f t="shared" si="7"/>
        <v>4.4247000575999999E-2</v>
      </c>
    </row>
    <row r="8" spans="2:20" x14ac:dyDescent="0.2">
      <c r="B8">
        <v>6</v>
      </c>
      <c r="C8">
        <f t="shared" si="0"/>
        <v>64</v>
      </c>
      <c r="D8">
        <f t="shared" si="1"/>
        <v>32</v>
      </c>
      <c r="E8" s="3">
        <v>4215606</v>
      </c>
      <c r="F8">
        <v>3.28E-10</v>
      </c>
      <c r="G8">
        <f t="shared" si="2"/>
        <v>4.4247000575999999E-2</v>
      </c>
      <c r="I8">
        <f t="shared" si="3"/>
        <v>8.8494001151999999E-2</v>
      </c>
      <c r="M8">
        <v>6</v>
      </c>
      <c r="N8">
        <f t="shared" si="4"/>
        <v>64</v>
      </c>
      <c r="O8">
        <f t="shared" si="5"/>
        <v>32</v>
      </c>
      <c r="P8" s="3">
        <v>4215606</v>
      </c>
      <c r="Q8">
        <v>3.28E-10</v>
      </c>
      <c r="R8">
        <f t="shared" si="6"/>
        <v>4.4247000575999999E-2</v>
      </c>
      <c r="T8">
        <f t="shared" si="7"/>
        <v>8.8494001151999999E-2</v>
      </c>
    </row>
    <row r="9" spans="2:20" x14ac:dyDescent="0.2">
      <c r="B9">
        <v>7</v>
      </c>
      <c r="C9">
        <f t="shared" si="0"/>
        <v>128</v>
      </c>
      <c r="D9">
        <f t="shared" si="1"/>
        <v>64</v>
      </c>
      <c r="E9" s="3">
        <v>4215606</v>
      </c>
      <c r="F9">
        <v>3.28E-10</v>
      </c>
      <c r="G9">
        <f t="shared" si="2"/>
        <v>8.8494001151999999E-2</v>
      </c>
      <c r="I9">
        <f t="shared" si="3"/>
        <v>0.176988002304</v>
      </c>
      <c r="M9">
        <v>7</v>
      </c>
      <c r="N9">
        <f t="shared" si="4"/>
        <v>128</v>
      </c>
      <c r="O9">
        <f t="shared" si="5"/>
        <v>64</v>
      </c>
      <c r="P9" s="3">
        <v>4215606</v>
      </c>
      <c r="Q9">
        <v>3.28E-10</v>
      </c>
      <c r="R9">
        <f t="shared" si="6"/>
        <v>8.8494001151999999E-2</v>
      </c>
      <c r="T9">
        <f t="shared" si="7"/>
        <v>0.176988002304</v>
      </c>
    </row>
    <row r="10" spans="2:20" x14ac:dyDescent="0.2">
      <c r="B10">
        <v>8</v>
      </c>
      <c r="C10">
        <f t="shared" si="0"/>
        <v>256</v>
      </c>
      <c r="D10">
        <f t="shared" si="1"/>
        <v>128</v>
      </c>
      <c r="E10" s="3">
        <v>4215606</v>
      </c>
      <c r="F10">
        <v>3.28E-10</v>
      </c>
      <c r="G10">
        <f t="shared" si="2"/>
        <v>0.176988002304</v>
      </c>
      <c r="I10">
        <f t="shared" si="3"/>
        <v>0.35397600460799999</v>
      </c>
      <c r="M10">
        <v>8</v>
      </c>
      <c r="N10">
        <f t="shared" si="4"/>
        <v>256</v>
      </c>
      <c r="O10">
        <f t="shared" si="5"/>
        <v>128</v>
      </c>
      <c r="P10" s="3">
        <v>4215606</v>
      </c>
      <c r="Q10">
        <v>3.28E-10</v>
      </c>
      <c r="R10">
        <f t="shared" si="6"/>
        <v>0.176988002304</v>
      </c>
      <c r="T10">
        <f t="shared" si="7"/>
        <v>0.35397600460799999</v>
      </c>
    </row>
    <row r="11" spans="2:20" x14ac:dyDescent="0.2">
      <c r="B11">
        <v>9</v>
      </c>
      <c r="C11">
        <f t="shared" si="0"/>
        <v>512</v>
      </c>
      <c r="D11">
        <f t="shared" si="1"/>
        <v>256</v>
      </c>
      <c r="E11" s="3">
        <v>4215606</v>
      </c>
      <c r="F11">
        <v>3.28E-10</v>
      </c>
      <c r="G11">
        <f t="shared" si="2"/>
        <v>0.35397600460799999</v>
      </c>
      <c r="I11">
        <f t="shared" si="3"/>
        <v>0.70795200921599999</v>
      </c>
      <c r="L11">
        <f>F3*E3</f>
        <v>1.382718768E-3</v>
      </c>
      <c r="M11">
        <v>9</v>
      </c>
      <c r="N11">
        <f t="shared" si="4"/>
        <v>512</v>
      </c>
      <c r="O11">
        <f t="shared" si="5"/>
        <v>256</v>
      </c>
      <c r="P11" s="3">
        <v>4215606</v>
      </c>
      <c r="Q11">
        <v>3.28E-10</v>
      </c>
      <c r="R11">
        <f t="shared" si="6"/>
        <v>0.35397600460799999</v>
      </c>
      <c r="T11">
        <f t="shared" si="7"/>
        <v>0.70795200921599999</v>
      </c>
    </row>
    <row r="12" spans="2:20" x14ac:dyDescent="0.2">
      <c r="B12">
        <v>10</v>
      </c>
      <c r="C12">
        <f t="shared" si="0"/>
        <v>1024</v>
      </c>
      <c r="D12">
        <f t="shared" si="1"/>
        <v>512</v>
      </c>
      <c r="E12" s="3">
        <v>4215606</v>
      </c>
      <c r="F12">
        <v>3.28E-10</v>
      </c>
      <c r="G12">
        <f t="shared" si="2"/>
        <v>0.70795200921599999</v>
      </c>
      <c r="I12">
        <f t="shared" si="3"/>
        <v>1.415904018432</v>
      </c>
      <c r="M12">
        <v>10</v>
      </c>
      <c r="N12">
        <f t="shared" si="4"/>
        <v>1024</v>
      </c>
      <c r="O12">
        <f t="shared" si="5"/>
        <v>512</v>
      </c>
      <c r="P12" s="3">
        <v>4215606</v>
      </c>
      <c r="Q12">
        <v>3.28E-10</v>
      </c>
      <c r="R12">
        <f t="shared" si="6"/>
        <v>0.70795200921599999</v>
      </c>
      <c r="T12">
        <f t="shared" si="7"/>
        <v>1.415904018432</v>
      </c>
    </row>
    <row r="13" spans="2:20" x14ac:dyDescent="0.2">
      <c r="B13">
        <v>11</v>
      </c>
      <c r="C13">
        <f t="shared" si="0"/>
        <v>2048</v>
      </c>
      <c r="D13">
        <f t="shared" si="1"/>
        <v>1024</v>
      </c>
      <c r="E13" s="3">
        <v>4215606</v>
      </c>
      <c r="F13">
        <v>3.28E-10</v>
      </c>
      <c r="G13">
        <f t="shared" si="2"/>
        <v>1.415904018432</v>
      </c>
      <c r="I13">
        <f t="shared" si="3"/>
        <v>2.831808036864</v>
      </c>
      <c r="M13">
        <v>11</v>
      </c>
      <c r="N13">
        <f t="shared" si="4"/>
        <v>2048</v>
      </c>
      <c r="O13">
        <f t="shared" si="5"/>
        <v>1024</v>
      </c>
      <c r="P13" s="3">
        <v>4215606</v>
      </c>
      <c r="Q13">
        <v>3.28E-10</v>
      </c>
      <c r="R13">
        <f t="shared" si="6"/>
        <v>1.415904018432</v>
      </c>
      <c r="T13">
        <f t="shared" si="7"/>
        <v>2.831808036864</v>
      </c>
    </row>
    <row r="14" spans="2:20" x14ac:dyDescent="0.2">
      <c r="B14">
        <v>12</v>
      </c>
      <c r="C14">
        <f t="shared" si="0"/>
        <v>4096</v>
      </c>
      <c r="D14">
        <f t="shared" si="1"/>
        <v>2048</v>
      </c>
      <c r="E14" s="3">
        <v>4215606</v>
      </c>
      <c r="F14">
        <v>3.28E-10</v>
      </c>
      <c r="G14">
        <f t="shared" si="2"/>
        <v>2.831808036864</v>
      </c>
      <c r="I14">
        <f t="shared" si="3"/>
        <v>5.6636160737279999</v>
      </c>
      <c r="M14">
        <v>12</v>
      </c>
      <c r="N14">
        <f t="shared" si="4"/>
        <v>4096</v>
      </c>
      <c r="O14">
        <f t="shared" si="5"/>
        <v>2048</v>
      </c>
      <c r="P14" s="3">
        <v>4215606</v>
      </c>
      <c r="Q14">
        <v>3.28E-10</v>
      </c>
      <c r="R14">
        <f t="shared" si="6"/>
        <v>2.831808036864</v>
      </c>
      <c r="T14">
        <f t="shared" si="7"/>
        <v>5.6636160737279999</v>
      </c>
    </row>
    <row r="15" spans="2:20" x14ac:dyDescent="0.2">
      <c r="B15">
        <v>13</v>
      </c>
      <c r="C15">
        <f t="shared" si="0"/>
        <v>8192</v>
      </c>
      <c r="D15">
        <f t="shared" si="1"/>
        <v>4096</v>
      </c>
      <c r="E15" s="3">
        <v>4215606</v>
      </c>
      <c r="F15">
        <v>3.28E-10</v>
      </c>
      <c r="G15">
        <f t="shared" si="2"/>
        <v>5.6636160737279999</v>
      </c>
      <c r="I15">
        <f t="shared" si="3"/>
        <v>11.327232147456</v>
      </c>
      <c r="M15">
        <v>13</v>
      </c>
      <c r="N15">
        <f t="shared" si="4"/>
        <v>8192</v>
      </c>
      <c r="O15">
        <f t="shared" si="5"/>
        <v>4096</v>
      </c>
      <c r="P15" s="3">
        <v>4215606</v>
      </c>
      <c r="Q15">
        <v>3.28E-10</v>
      </c>
      <c r="R15">
        <f t="shared" si="6"/>
        <v>5.6636160737279999</v>
      </c>
      <c r="T15">
        <f t="shared" si="7"/>
        <v>11.327232147456</v>
      </c>
    </row>
    <row r="16" spans="2:20" x14ac:dyDescent="0.2">
      <c r="B16">
        <v>14</v>
      </c>
      <c r="C16">
        <f t="shared" si="0"/>
        <v>16384</v>
      </c>
      <c r="D16">
        <f t="shared" si="1"/>
        <v>8192</v>
      </c>
      <c r="E16" s="3">
        <v>4215606</v>
      </c>
      <c r="F16">
        <v>3.28E-10</v>
      </c>
      <c r="G16">
        <f t="shared" si="2"/>
        <v>11.327232147456</v>
      </c>
      <c r="I16">
        <f t="shared" si="3"/>
        <v>22.654464294912</v>
      </c>
      <c r="M16">
        <v>14</v>
      </c>
      <c r="N16">
        <f t="shared" si="4"/>
        <v>16384</v>
      </c>
      <c r="O16">
        <f t="shared" si="5"/>
        <v>8192</v>
      </c>
      <c r="P16" s="3">
        <v>4215606</v>
      </c>
      <c r="Q16">
        <v>3.28E-10</v>
      </c>
      <c r="R16">
        <f t="shared" si="6"/>
        <v>11.327232147456</v>
      </c>
      <c r="T16">
        <f t="shared" si="7"/>
        <v>22.654464294912</v>
      </c>
    </row>
    <row r="17" spans="2:20" x14ac:dyDescent="0.2">
      <c r="B17">
        <v>15</v>
      </c>
      <c r="C17">
        <f t="shared" si="0"/>
        <v>32768</v>
      </c>
      <c r="D17">
        <f t="shared" si="1"/>
        <v>16384</v>
      </c>
      <c r="E17" s="3">
        <v>4215606</v>
      </c>
      <c r="F17">
        <v>3.28E-10</v>
      </c>
      <c r="G17">
        <f t="shared" si="2"/>
        <v>22.654464294912</v>
      </c>
      <c r="I17">
        <f t="shared" si="3"/>
        <v>45.308928589823999</v>
      </c>
      <c r="M17">
        <v>15</v>
      </c>
      <c r="N17">
        <f t="shared" si="4"/>
        <v>32768</v>
      </c>
      <c r="O17">
        <f t="shared" si="5"/>
        <v>16384</v>
      </c>
      <c r="P17" s="3">
        <v>4215606</v>
      </c>
      <c r="Q17">
        <v>3.28E-10</v>
      </c>
      <c r="R17">
        <f t="shared" si="6"/>
        <v>22.654464294912</v>
      </c>
      <c r="T17">
        <f t="shared" si="7"/>
        <v>45.308928589823999</v>
      </c>
    </row>
    <row r="18" spans="2:20" x14ac:dyDescent="0.2">
      <c r="B18">
        <v>16</v>
      </c>
      <c r="C18">
        <f t="shared" si="0"/>
        <v>65536</v>
      </c>
      <c r="D18">
        <f t="shared" si="1"/>
        <v>32768</v>
      </c>
      <c r="E18" s="3">
        <v>4215606</v>
      </c>
      <c r="F18">
        <v>3.28E-10</v>
      </c>
      <c r="G18">
        <f t="shared" si="2"/>
        <v>45.308928589823999</v>
      </c>
      <c r="I18">
        <f t="shared" si="3"/>
        <v>90.617857179647999</v>
      </c>
      <c r="M18">
        <v>16</v>
      </c>
      <c r="N18">
        <f t="shared" si="4"/>
        <v>65536</v>
      </c>
      <c r="O18">
        <f t="shared" si="5"/>
        <v>32768</v>
      </c>
      <c r="P18" s="3">
        <v>4215606</v>
      </c>
      <c r="Q18">
        <v>3.28E-10</v>
      </c>
      <c r="R18">
        <f t="shared" si="6"/>
        <v>45.308928589823999</v>
      </c>
      <c r="T18">
        <f t="shared" si="7"/>
        <v>90.617857179647999</v>
      </c>
    </row>
    <row r="19" spans="2:20" x14ac:dyDescent="0.2">
      <c r="B19">
        <v>17</v>
      </c>
      <c r="C19">
        <f t="shared" si="0"/>
        <v>131072</v>
      </c>
      <c r="D19">
        <f t="shared" si="1"/>
        <v>65536</v>
      </c>
      <c r="E19" s="3">
        <v>4215606</v>
      </c>
      <c r="F19">
        <v>3.28E-10</v>
      </c>
      <c r="G19">
        <f t="shared" si="2"/>
        <v>90.617857179647999</v>
      </c>
      <c r="I19">
        <f t="shared" si="3"/>
        <v>181.235714359296</v>
      </c>
      <c r="M19">
        <v>17</v>
      </c>
      <c r="N19">
        <f t="shared" si="4"/>
        <v>131072</v>
      </c>
      <c r="O19">
        <f t="shared" si="5"/>
        <v>65536</v>
      </c>
      <c r="P19" s="3">
        <v>4215606</v>
      </c>
      <c r="Q19">
        <v>3.28E-10</v>
      </c>
      <c r="R19">
        <f t="shared" si="6"/>
        <v>90.617857179647999</v>
      </c>
      <c r="T19">
        <f t="shared" si="7"/>
        <v>181.235714359296</v>
      </c>
    </row>
    <row r="20" spans="2:20" x14ac:dyDescent="0.2">
      <c r="B20">
        <v>18</v>
      </c>
      <c r="C20">
        <f t="shared" si="0"/>
        <v>262144</v>
      </c>
      <c r="D20">
        <f t="shared" si="1"/>
        <v>131072</v>
      </c>
      <c r="E20" s="3">
        <v>4215606</v>
      </c>
      <c r="F20">
        <v>3.28E-10</v>
      </c>
      <c r="G20">
        <f t="shared" si="2"/>
        <v>181.235714359296</v>
      </c>
      <c r="I20">
        <f t="shared" si="3"/>
        <v>362.47142871859199</v>
      </c>
      <c r="M20">
        <v>18</v>
      </c>
      <c r="N20">
        <f t="shared" si="4"/>
        <v>262144</v>
      </c>
      <c r="O20">
        <f t="shared" si="5"/>
        <v>131072</v>
      </c>
      <c r="P20" s="3">
        <v>4215606</v>
      </c>
      <c r="Q20">
        <v>3.28E-10</v>
      </c>
      <c r="R20">
        <f t="shared" si="6"/>
        <v>181.235714359296</v>
      </c>
      <c r="T20">
        <f t="shared" si="7"/>
        <v>362.47142871859199</v>
      </c>
    </row>
    <row r="21" spans="2:20" x14ac:dyDescent="0.2">
      <c r="B21">
        <v>19</v>
      </c>
      <c r="C21">
        <f t="shared" si="0"/>
        <v>524288</v>
      </c>
      <c r="D21">
        <f t="shared" si="1"/>
        <v>262144</v>
      </c>
      <c r="E21" s="3">
        <v>4215606</v>
      </c>
      <c r="F21">
        <v>3.28E-10</v>
      </c>
      <c r="G21">
        <f t="shared" si="2"/>
        <v>362.47142871859199</v>
      </c>
      <c r="I21">
        <f t="shared" si="3"/>
        <v>724.94285743718399</v>
      </c>
      <c r="M21">
        <v>19</v>
      </c>
      <c r="N21">
        <f t="shared" si="4"/>
        <v>524288</v>
      </c>
      <c r="O21">
        <f t="shared" si="5"/>
        <v>262144</v>
      </c>
      <c r="P21" s="3">
        <v>4215606</v>
      </c>
      <c r="Q21">
        <v>3.28E-10</v>
      </c>
      <c r="R21">
        <f t="shared" si="6"/>
        <v>362.47142871859199</v>
      </c>
      <c r="T21">
        <f t="shared" si="7"/>
        <v>724.94285743718399</v>
      </c>
    </row>
    <row r="22" spans="2:20" x14ac:dyDescent="0.2">
      <c r="B22">
        <v>20</v>
      </c>
      <c r="C22">
        <f t="shared" si="0"/>
        <v>1048576</v>
      </c>
      <c r="D22">
        <f t="shared" si="1"/>
        <v>524288</v>
      </c>
      <c r="E22" s="3">
        <v>4215606</v>
      </c>
      <c r="F22">
        <v>3.28E-10</v>
      </c>
      <c r="G22">
        <f t="shared" si="2"/>
        <v>724.94285743718399</v>
      </c>
      <c r="I22">
        <f t="shared" si="3"/>
        <v>1449.885714874368</v>
      </c>
      <c r="M22">
        <v>20</v>
      </c>
      <c r="N22">
        <f t="shared" si="4"/>
        <v>1048576</v>
      </c>
      <c r="O22">
        <f t="shared" si="5"/>
        <v>524288</v>
      </c>
      <c r="P22" s="3">
        <v>4215606</v>
      </c>
      <c r="Q22">
        <v>3.28E-10</v>
      </c>
      <c r="R22">
        <f t="shared" si="6"/>
        <v>724.94285743718399</v>
      </c>
      <c r="T22">
        <f t="shared" si="7"/>
        <v>1449.885714874368</v>
      </c>
    </row>
    <row r="23" spans="2:20" x14ac:dyDescent="0.2">
      <c r="B23">
        <v>21</v>
      </c>
      <c r="C23">
        <f t="shared" si="0"/>
        <v>2097152</v>
      </c>
      <c r="D23">
        <f t="shared" si="1"/>
        <v>1048576</v>
      </c>
      <c r="E23" s="3">
        <v>4215606</v>
      </c>
      <c r="F23">
        <v>3.28E-10</v>
      </c>
      <c r="G23">
        <f t="shared" si="2"/>
        <v>1449.885714874368</v>
      </c>
      <c r="I23">
        <f t="shared" si="3"/>
        <v>2899.771429748736</v>
      </c>
      <c r="M23">
        <v>21</v>
      </c>
      <c r="N23">
        <f t="shared" si="4"/>
        <v>2097152</v>
      </c>
      <c r="O23">
        <f t="shared" si="5"/>
        <v>1048576</v>
      </c>
      <c r="P23" s="3">
        <v>4215606</v>
      </c>
      <c r="Q23">
        <v>3.28E-10</v>
      </c>
      <c r="R23">
        <f t="shared" si="6"/>
        <v>1449.885714874368</v>
      </c>
      <c r="T23">
        <f t="shared" si="7"/>
        <v>2899.771429748736</v>
      </c>
    </row>
    <row r="24" spans="2:20" x14ac:dyDescent="0.2">
      <c r="B24">
        <v>22</v>
      </c>
      <c r="C24">
        <f t="shared" si="0"/>
        <v>4194304</v>
      </c>
      <c r="D24">
        <f t="shared" si="1"/>
        <v>2097152</v>
      </c>
      <c r="E24" s="3">
        <v>4215606</v>
      </c>
      <c r="F24">
        <v>3.28E-10</v>
      </c>
      <c r="G24">
        <f t="shared" si="2"/>
        <v>2899.771429748736</v>
      </c>
      <c r="I24">
        <f t="shared" si="3"/>
        <v>5799.5428594974719</v>
      </c>
      <c r="M24">
        <v>22</v>
      </c>
      <c r="N24">
        <f t="shared" si="4"/>
        <v>4194304</v>
      </c>
      <c r="O24">
        <f t="shared" si="5"/>
        <v>2097152</v>
      </c>
      <c r="P24" s="3">
        <v>4215606</v>
      </c>
      <c r="Q24">
        <v>3.28E-10</v>
      </c>
      <c r="R24">
        <f t="shared" si="6"/>
        <v>2899.771429748736</v>
      </c>
      <c r="T24">
        <f t="shared" si="7"/>
        <v>5799.5428594974719</v>
      </c>
    </row>
    <row r="25" spans="2:20" x14ac:dyDescent="0.2">
      <c r="B25">
        <v>23</v>
      </c>
      <c r="C25">
        <f t="shared" si="0"/>
        <v>8388608</v>
      </c>
      <c r="D25">
        <f t="shared" si="1"/>
        <v>4194304</v>
      </c>
      <c r="E25" s="3">
        <v>4215606</v>
      </c>
      <c r="F25">
        <v>3.28E-10</v>
      </c>
      <c r="G25">
        <f t="shared" si="2"/>
        <v>5799.5428594974719</v>
      </c>
      <c r="I25">
        <f t="shared" si="3"/>
        <v>11599.085718994944</v>
      </c>
      <c r="M25">
        <v>23</v>
      </c>
      <c r="N25">
        <f t="shared" si="4"/>
        <v>8388608</v>
      </c>
      <c r="O25">
        <f t="shared" si="5"/>
        <v>4194304</v>
      </c>
      <c r="P25" s="3">
        <v>4215606</v>
      </c>
      <c r="Q25">
        <v>3.28E-10</v>
      </c>
      <c r="R25">
        <f t="shared" si="6"/>
        <v>5799.5428594974719</v>
      </c>
      <c r="T25">
        <f t="shared" si="7"/>
        <v>11599.085718994944</v>
      </c>
    </row>
    <row r="26" spans="2:20" x14ac:dyDescent="0.2">
      <c r="B26">
        <v>24</v>
      </c>
      <c r="C26">
        <f t="shared" si="0"/>
        <v>16777216</v>
      </c>
      <c r="D26">
        <f t="shared" si="1"/>
        <v>8388608</v>
      </c>
      <c r="E26" s="3">
        <v>4215606</v>
      </c>
      <c r="F26">
        <v>3.28E-10</v>
      </c>
      <c r="G26">
        <f t="shared" si="2"/>
        <v>11599.085718994944</v>
      </c>
      <c r="I26">
        <f t="shared" si="3"/>
        <v>23198.171437989888</v>
      </c>
      <c r="M26">
        <v>24</v>
      </c>
      <c r="N26">
        <f t="shared" si="4"/>
        <v>16777216</v>
      </c>
      <c r="O26">
        <f t="shared" si="5"/>
        <v>8388608</v>
      </c>
      <c r="P26" s="3">
        <v>4215606</v>
      </c>
      <c r="Q26">
        <v>3.28E-10</v>
      </c>
      <c r="R26">
        <f t="shared" si="6"/>
        <v>11599.085718994944</v>
      </c>
      <c r="T26">
        <f t="shared" si="7"/>
        <v>23198.171437989888</v>
      </c>
    </row>
    <row r="27" spans="2:20" x14ac:dyDescent="0.2">
      <c r="B27">
        <v>25</v>
      </c>
      <c r="C27">
        <f t="shared" si="0"/>
        <v>33554432</v>
      </c>
      <c r="D27">
        <f t="shared" si="1"/>
        <v>16777216</v>
      </c>
      <c r="E27" s="3">
        <v>4215606</v>
      </c>
      <c r="F27">
        <v>3.28E-10</v>
      </c>
      <c r="G27">
        <f t="shared" si="2"/>
        <v>23198.171437989888</v>
      </c>
      <c r="I27">
        <f t="shared" si="3"/>
        <v>46396.342875979775</v>
      </c>
      <c r="M27">
        <v>25</v>
      </c>
      <c r="N27">
        <f t="shared" si="4"/>
        <v>33554432</v>
      </c>
      <c r="O27">
        <f t="shared" si="5"/>
        <v>16777216</v>
      </c>
      <c r="P27" s="3">
        <v>4215606</v>
      </c>
      <c r="Q27">
        <v>3.28E-10</v>
      </c>
      <c r="R27">
        <f t="shared" si="6"/>
        <v>23198.171437989888</v>
      </c>
      <c r="T27">
        <f t="shared" si="7"/>
        <v>46396.342875979775</v>
      </c>
    </row>
    <row r="28" spans="2:20" ht="18" x14ac:dyDescent="0.2">
      <c r="B28">
        <v>26</v>
      </c>
      <c r="C28">
        <f t="shared" si="0"/>
        <v>67108864</v>
      </c>
      <c r="D28">
        <f t="shared" si="1"/>
        <v>33554432</v>
      </c>
      <c r="E28" s="3">
        <v>4215606</v>
      </c>
      <c r="F28">
        <v>3.28E-10</v>
      </c>
      <c r="G28">
        <f t="shared" si="2"/>
        <v>46396.342875979775</v>
      </c>
      <c r="I28">
        <f t="shared" si="3"/>
        <v>92792.685751959551</v>
      </c>
      <c r="M28">
        <v>26</v>
      </c>
      <c r="N28" s="2">
        <v>45500000</v>
      </c>
      <c r="O28">
        <f t="shared" si="5"/>
        <v>11945568</v>
      </c>
      <c r="P28" s="3">
        <v>4215606</v>
      </c>
      <c r="Q28">
        <v>3.28E-10</v>
      </c>
      <c r="R28">
        <f t="shared" ref="R28" si="8">O28*P28*Q28</f>
        <v>16517.361068020226</v>
      </c>
      <c r="T28">
        <f t="shared" ref="T28" si="9">N28*P28*Q28</f>
        <v>62913.703944000001</v>
      </c>
    </row>
    <row r="29" spans="2:20" x14ac:dyDescent="0.2">
      <c r="B29">
        <v>27</v>
      </c>
      <c r="C29">
        <f t="shared" si="0"/>
        <v>134217728</v>
      </c>
      <c r="D29">
        <f t="shared" si="1"/>
        <v>67108864</v>
      </c>
      <c r="E29" s="3">
        <v>4215606</v>
      </c>
      <c r="F29">
        <v>3.28E-10</v>
      </c>
      <c r="G29">
        <f t="shared" si="2"/>
        <v>92792.685751959551</v>
      </c>
      <c r="I29">
        <f t="shared" si="3"/>
        <v>185585.3715039191</v>
      </c>
    </row>
    <row r="30" spans="2:20" x14ac:dyDescent="0.2">
      <c r="B30">
        <v>28</v>
      </c>
      <c r="C30">
        <f t="shared" si="0"/>
        <v>268435456</v>
      </c>
      <c r="D30">
        <f t="shared" si="1"/>
        <v>134217728</v>
      </c>
      <c r="E30" s="3">
        <v>4215606</v>
      </c>
      <c r="F30">
        <v>3.28E-10</v>
      </c>
      <c r="G30">
        <f t="shared" si="2"/>
        <v>185585.3715039191</v>
      </c>
      <c r="I30">
        <f t="shared" si="3"/>
        <v>371170.7430078382</v>
      </c>
      <c r="R30">
        <f>SUM(R3:R28)</f>
        <v>62913.702561281229</v>
      </c>
      <c r="T30">
        <f>SUM(T3:T28)</f>
        <v>155706.38693052201</v>
      </c>
    </row>
    <row r="31" spans="2:20" x14ac:dyDescent="0.2">
      <c r="B31">
        <v>29</v>
      </c>
      <c r="C31">
        <f t="shared" si="0"/>
        <v>536870912</v>
      </c>
      <c r="D31">
        <f t="shared" si="1"/>
        <v>268435456</v>
      </c>
      <c r="E31" s="3">
        <v>4215606</v>
      </c>
      <c r="F31">
        <v>3.28E-10</v>
      </c>
      <c r="G31">
        <f t="shared" si="2"/>
        <v>371170.7430078382</v>
      </c>
      <c r="I31">
        <f t="shared" si="3"/>
        <v>742341.4860156764</v>
      </c>
      <c r="R31">
        <f>R30/N28</f>
        <v>1.3827187376105764E-3</v>
      </c>
      <c r="T31">
        <f>T30/N28</f>
        <v>3.422118394077407E-3</v>
      </c>
    </row>
    <row r="32" spans="2:20" x14ac:dyDescent="0.2">
      <c r="B32">
        <v>30</v>
      </c>
      <c r="C32">
        <f t="shared" si="0"/>
        <v>1073741824</v>
      </c>
      <c r="D32">
        <f t="shared" si="1"/>
        <v>536870912</v>
      </c>
      <c r="E32" s="3">
        <v>4215606</v>
      </c>
      <c r="F32">
        <v>3.28E-10</v>
      </c>
      <c r="G32">
        <f t="shared" si="2"/>
        <v>742341.4860156764</v>
      </c>
      <c r="I32">
        <f t="shared" si="3"/>
        <v>1484682.9720313528</v>
      </c>
    </row>
    <row r="33" spans="2:15" x14ac:dyDescent="0.2">
      <c r="B33">
        <v>31</v>
      </c>
      <c r="C33">
        <f t="shared" si="0"/>
        <v>2147483648</v>
      </c>
      <c r="D33">
        <f t="shared" si="1"/>
        <v>1073741824</v>
      </c>
      <c r="E33" s="3">
        <v>4215606</v>
      </c>
      <c r="F33">
        <v>3.28E-10</v>
      </c>
      <c r="G33">
        <f t="shared" si="2"/>
        <v>1484682.9720313528</v>
      </c>
      <c r="I33">
        <f t="shared" si="3"/>
        <v>2969365.9440627056</v>
      </c>
    </row>
    <row r="34" spans="2:15" ht="18" x14ac:dyDescent="0.2">
      <c r="B34">
        <v>32</v>
      </c>
      <c r="C34" s="2">
        <v>3815000000</v>
      </c>
      <c r="D34">
        <f t="shared" si="1"/>
        <v>1667516352</v>
      </c>
      <c r="E34" s="3">
        <v>4215606</v>
      </c>
      <c r="F34">
        <v>3.28E-10</v>
      </c>
      <c r="G34">
        <f t="shared" si="2"/>
        <v>2305706.1558572943</v>
      </c>
      <c r="I34">
        <f t="shared" si="3"/>
        <v>5275072.0999199999</v>
      </c>
    </row>
    <row r="35" spans="2:15" x14ac:dyDescent="0.2">
      <c r="H35">
        <f>SUM(G3:G34)</f>
        <v>5275072.0985372812</v>
      </c>
      <c r="J35">
        <f>SUM(I3:I34)</f>
        <v>11213803.985279974</v>
      </c>
      <c r="L35" t="s">
        <v>115</v>
      </c>
    </row>
    <row r="36" spans="2:15" x14ac:dyDescent="0.2">
      <c r="H36">
        <f>H35/C34</f>
        <v>1.3827187676375573E-3</v>
      </c>
      <c r="J36">
        <f>J35/C34</f>
        <v>2.9393981612791543E-3</v>
      </c>
      <c r="K36">
        <f>J36*96</f>
        <v>0.28218222348279881</v>
      </c>
    </row>
    <row r="37" spans="2:15" x14ac:dyDescent="0.2">
      <c r="N37">
        <f>R31+H36</f>
        <v>2.7654375052481336E-3</v>
      </c>
      <c r="O37">
        <f>N37*96</f>
        <v>0.26548200050382081</v>
      </c>
    </row>
    <row r="38" spans="2:15" ht="18" x14ac:dyDescent="0.2">
      <c r="C38" s="2">
        <v>31.829035910999998</v>
      </c>
    </row>
    <row r="39" spans="2:15" ht="18" x14ac:dyDescent="0.2">
      <c r="C39" s="2">
        <v>25.439363209500002</v>
      </c>
      <c r="D39">
        <f>SUM(C38:C39)</f>
        <v>57.2683991205</v>
      </c>
      <c r="E39" s="4"/>
      <c r="H39">
        <f>2/52/E34/D39</f>
        <v>1.5931313910332264E-10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LT_Heat_Bacillus.compare</vt:lpstr>
      <vt:lpstr>Sheet4</vt:lpstr>
      <vt:lpstr>Sheet3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 Behringer</dc:creator>
  <cp:lastModifiedBy>Megan Behringer</cp:lastModifiedBy>
  <dcterms:created xsi:type="dcterms:W3CDTF">2018-10-18T19:02:02Z</dcterms:created>
  <dcterms:modified xsi:type="dcterms:W3CDTF">2019-07-01T22:13:57Z</dcterms:modified>
</cp:coreProperties>
</file>